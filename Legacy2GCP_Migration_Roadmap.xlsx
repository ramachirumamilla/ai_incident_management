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chiruma\Downloads\"/>
    </mc:Choice>
  </mc:AlternateContent>
  <xr:revisionPtr revIDLastSave="0" documentId="11_890720C46956039426C4C29DAC8CB68D09BC442C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ecutive Dashboard" sheetId="1" r:id="rId1"/>
    <sheet name="Executive Roadmap" sheetId="2" r:id="rId2"/>
    <sheet name="Detailed Monthly Tracker" sheetId="3" r:id="rId3"/>
    <sheet name="Application Tracker" sheetId="4" r:id="rId4"/>
    <sheet name="Gate Readiness" sheetId="5" r:id="rId5"/>
    <sheet name="Gate Criteria Checklist" sheetId="6" r:id="rId6"/>
    <sheet name="Critical Dependencies" sheetId="7" r:id="rId7"/>
    <sheet name="RAID Regist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F15" i="5"/>
  <c r="I15" i="5" s="1"/>
  <c r="G14" i="5"/>
  <c r="F14" i="5"/>
  <c r="I14" i="5" s="1"/>
  <c r="G13" i="5"/>
  <c r="F13" i="5"/>
  <c r="I13" i="5" s="1"/>
  <c r="G12" i="5"/>
  <c r="F12" i="5"/>
  <c r="I12" i="5" s="1"/>
  <c r="G11" i="5"/>
  <c r="F11" i="5"/>
  <c r="I11" i="5" s="1"/>
  <c r="G10" i="5"/>
  <c r="F10" i="5"/>
  <c r="I10" i="5" s="1"/>
  <c r="G9" i="5"/>
  <c r="F9" i="5"/>
  <c r="I9" i="5" s="1"/>
  <c r="G8" i="5"/>
  <c r="F8" i="5"/>
  <c r="I8" i="5" s="1"/>
  <c r="G7" i="5"/>
  <c r="F7" i="5"/>
  <c r="I7" i="5" s="1"/>
  <c r="G6" i="5"/>
  <c r="F6" i="5"/>
  <c r="I6" i="5" s="1"/>
  <c r="G5" i="5"/>
  <c r="F5" i="5"/>
  <c r="I5" i="5" s="1"/>
  <c r="G4" i="5"/>
  <c r="F4" i="5"/>
  <c r="I4" i="5" s="1"/>
  <c r="B24" i="1" s="1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B23" i="1"/>
  <c r="B22" i="1"/>
  <c r="B21" i="1"/>
  <c r="B20" i="1"/>
  <c r="B19" i="1"/>
  <c r="B18" i="1"/>
  <c r="B17" i="1"/>
  <c r="B16" i="1"/>
  <c r="B15" i="1"/>
  <c r="H4" i="5" l="1"/>
  <c r="H5" i="5"/>
  <c r="H6" i="5"/>
  <c r="H7" i="5"/>
  <c r="H8" i="5"/>
  <c r="H9" i="5"/>
  <c r="H10" i="5"/>
  <c r="H11" i="5"/>
  <c r="H12" i="5"/>
  <c r="H13" i="5"/>
  <c r="H14" i="5"/>
  <c r="H15" i="5"/>
</calcChain>
</file>

<file path=xl/sharedStrings.xml><?xml version="1.0" encoding="utf-8"?>
<sst xmlns="http://schemas.openxmlformats.org/spreadsheetml/2006/main" count="2986" uniqueCount="953">
  <si>
    <t>Executive Dashboard</t>
  </si>
  <si>
    <t>Program KPI</t>
  </si>
  <si>
    <t>Target / Count</t>
  </si>
  <si>
    <t>Month</t>
  </si>
  <si>
    <t>Apps This Month</t>
  </si>
  <si>
    <t>Cumulative Apps</t>
  </si>
  <si>
    <t>Planned Status</t>
  </si>
  <si>
    <t>Applications in Scope</t>
  </si>
  <si>
    <t>M1</t>
  </si>
  <si>
    <t>Green</t>
  </si>
  <si>
    <t>Roadmap Records</t>
  </si>
  <si>
    <t>M2</t>
  </si>
  <si>
    <t>Program Duration (Weeks)</t>
  </si>
  <si>
    <t>M3</t>
  </si>
  <si>
    <t>Apps Planned by M5</t>
  </si>
  <si>
    <t>M4</t>
  </si>
  <si>
    <t>Amber</t>
  </si>
  <si>
    <t>Availability Target</t>
  </si>
  <si>
    <t>99.95%</t>
  </si>
  <si>
    <t>M5</t>
  </si>
  <si>
    <t>RPO Target</t>
  </si>
  <si>
    <t>&lt;= 5 min</t>
  </si>
  <si>
    <t>M6</t>
  </si>
  <si>
    <t>RTO Target</t>
  </si>
  <si>
    <t>&lt;= 60 min</t>
  </si>
  <si>
    <t>Legacy Platforms to Retire</t>
  </si>
  <si>
    <t>Health Measure</t>
  </si>
  <si>
    <t>Current</t>
  </si>
  <si>
    <t>Critical-path records</t>
  </si>
  <si>
    <t>Tasks Complete</t>
  </si>
  <si>
    <t>Tasks In Progress</t>
  </si>
  <si>
    <t>Tasks Blocked</t>
  </si>
  <si>
    <t>Tasks At Risk</t>
  </si>
  <si>
    <t>Apps Complete</t>
  </si>
  <si>
    <t>Apps Ready for Cutover</t>
  </si>
  <si>
    <t>Dependencies Red</t>
  </si>
  <si>
    <t>Top Risks Red</t>
  </si>
  <si>
    <t>Gates Ready</t>
  </si>
  <si>
    <t>Legacy to GCP Migration - Executive Roadmap</t>
  </si>
  <si>
    <t>20 applications | 26 weeks</t>
  </si>
  <si>
    <t>Weeks</t>
  </si>
  <si>
    <t>Executive Milestone</t>
  </si>
  <si>
    <t>Primary Outcomes</t>
  </si>
  <si>
    <t>Approval Gate</t>
  </si>
  <si>
    <t>Gate Owner</t>
  </si>
  <si>
    <t>W1-W4</t>
  </si>
  <si>
    <t>Foundation Ready</t>
  </si>
  <si>
    <t>Discovery, dependency map, wave plan, landing zone, security sign-off, replication path</t>
  </si>
  <si>
    <t>GATE-M1</t>
  </si>
  <si>
    <t>Security + Platform</t>
  </si>
  <si>
    <t>W5-W9</t>
  </si>
  <si>
    <t>Pilot Proven</t>
  </si>
  <si>
    <t>3 pilot apps, rehearsed rollback, production cutover, hypercare, SLO and DR validation</t>
  </si>
  <si>
    <t>GATE-M2</t>
  </si>
  <si>
    <t>Steering Committee</t>
  </si>
  <si>
    <t>W10-W13</t>
  </si>
  <si>
    <t>Wave 1 Complete</t>
  </si>
  <si>
    <t>5 low-complexity apps, DB migration, production cutover, hypercare and DR test</t>
  </si>
  <si>
    <t>GATE-M3</t>
  </si>
  <si>
    <t>W14-W17</t>
  </si>
  <si>
    <t>Wave 2 Complete</t>
  </si>
  <si>
    <t>6 complex/shared-DB apps, split cutovers 2a/2b, hypercare and shared-DB DR test</t>
  </si>
  <si>
    <t>GATE-M4</t>
  </si>
  <si>
    <t>W18-W21</t>
  </si>
  <si>
    <t>Wave 3 Complete</t>
  </si>
  <si>
    <t>6 remaining/Tier-1 apps, split cutovers 3a/3b, peak-load test, hypercare and DR test</t>
  </si>
  <si>
    <t>GATE-M5</t>
  </si>
  <si>
    <t>W22-W26</t>
  </si>
  <si>
    <t>Migration Complete</t>
  </si>
  <si>
    <t>Portfolio DR, SLO certification, SRE acceptance, archival, compliance and legacy decommission</t>
  </si>
  <si>
    <t>GATE-M6</t>
  </si>
  <si>
    <t>Executive Sponsor / SteerCo</t>
  </si>
  <si>
    <t>Detailed Monthly Tracker</t>
  </si>
  <si>
    <t>Phase</t>
  </si>
  <si>
    <t>Task ID</t>
  </si>
  <si>
    <t>Workstream</t>
  </si>
  <si>
    <t>Task / Milestone</t>
  </si>
  <si>
    <t>Owner</t>
  </si>
  <si>
    <t>Type</t>
  </si>
  <si>
    <t>Start Wk</t>
  </si>
  <si>
    <t>Duration</t>
  </si>
  <si>
    <t>End Wk</t>
  </si>
  <si>
    <t>Planned Start</t>
  </si>
  <si>
    <t>Planned Finish</t>
  </si>
  <si>
    <t>Predecessors</t>
  </si>
  <si>
    <t>Driving Pred.</t>
  </si>
  <si>
    <t>Link Type</t>
  </si>
  <si>
    <t>Critical Path</t>
  </si>
  <si>
    <t>Freeze Check</t>
  </si>
  <si>
    <t>Status</t>
  </si>
  <si>
    <t>Deliverable / Evidence</t>
  </si>
  <si>
    <t>% Complete</t>
  </si>
  <si>
    <t>TPM Notes / Next Action</t>
  </si>
  <si>
    <t>RAG</t>
  </si>
  <si>
    <t>Actual Start</t>
  </si>
  <si>
    <t>Forecast Finish</t>
  </si>
  <si>
    <t>Actual Finish</t>
  </si>
  <si>
    <t>Schedule Variance (Days)</t>
  </si>
  <si>
    <t>Recovery Plan</t>
  </si>
  <si>
    <t>PROGRAM MANAGEMENT &amp; GOVERNANCE</t>
  </si>
  <si>
    <t>PM-01</t>
  </si>
  <si>
    <t>Program Management</t>
  </si>
  <si>
    <t>Program kickoff, charter, governance and decision rights</t>
  </si>
  <si>
    <t>TPM</t>
  </si>
  <si>
    <t>Task</t>
  </si>
  <si>
    <t>No</t>
  </si>
  <si>
    <t>Not Started</t>
  </si>
  <si>
    <t>Charter; SteerCo terms of reference</t>
  </si>
  <si>
    <t>Grey</t>
  </si>
  <si>
    <t>PM-02</t>
  </si>
  <si>
    <t>Stand up RAID log, dependency dashboard and executive dashboard</t>
  </si>
  <si>
    <t>FS</t>
  </si>
  <si>
    <t>RAID log (system of record); dashboards live</t>
  </si>
  <si>
    <t>PM-03</t>
  </si>
  <si>
    <t>Baseline integrated plan, RACI, resource onboarding and SME backfill</t>
  </si>
  <si>
    <t>Baselined plan; backfill approved</t>
  </si>
  <si>
    <t>PM-04</t>
  </si>
  <si>
    <t>Agree change calendar: CAB slots, freeze windows, cutover windows</t>
  </si>
  <si>
    <t>TPM / Change Manager</t>
  </si>
  <si>
    <t>Published change &amp; freeze calendar</t>
  </si>
  <si>
    <t>PM-05</t>
  </si>
  <si>
    <t>Regulatory and third-party notification plan (cloud outsourcing, vendor risk)</t>
  </si>
  <si>
    <t>TPM / Compliance</t>
  </si>
  <si>
    <t>Regulatory engagement plan; notification dates</t>
  </si>
  <si>
    <t>M1-M6</t>
  </si>
  <si>
    <t>PM-06</t>
  </si>
  <si>
    <t>Weekly SteerCo, Dependency Review Board and RAID review (recurring)</t>
  </si>
  <si>
    <t>Weekly status report; decision log</t>
  </si>
  <si>
    <t>PM-07</t>
  </si>
  <si>
    <t>Monthly executive reporting, budget and cloud-spend vs forecast</t>
  </si>
  <si>
    <t>TPM / Finance</t>
  </si>
  <si>
    <t>Monthly exec pack</t>
  </si>
  <si>
    <t>PM-08</t>
  </si>
  <si>
    <t>Business Readiness</t>
  </si>
  <si>
    <t>Business readiness: comms plan, training, runbooks / SOPs (recurring)</t>
  </si>
  <si>
    <t>Change Manager</t>
  </si>
  <si>
    <t>Comms calendar; training records; SOPs</t>
  </si>
  <si>
    <t>PM-09</t>
  </si>
  <si>
    <t>Program closure, final report and lessons learned</t>
  </si>
  <si>
    <t>Closure report; RAID closed</t>
  </si>
  <si>
    <t>DISCOVERY &amp; PLANNING</t>
  </si>
  <si>
    <t>DS-01</t>
  </si>
  <si>
    <t>Application Migration</t>
  </si>
  <si>
    <t>Application inventory and CMDB reconciliation (owners, tiers, criticality)</t>
  </si>
  <si>
    <t>App Teams / TPM</t>
  </si>
  <si>
    <t>Signed-off inventory of 20 apps</t>
  </si>
  <si>
    <t>DS-02</t>
  </si>
  <si>
    <t>Technical discovery workshops (runtime, config, secrets, integrations, batch schedules)</t>
  </si>
  <si>
    <t>Cloud Architects / App SMEs</t>
  </si>
  <si>
    <t>SS</t>
  </si>
  <si>
    <t>Per-app discovery pack</t>
  </si>
  <si>
    <t>DS-03</t>
  </si>
  <si>
    <t>Dependency mapping: shared DBs, APIs, middleware, auth, file transfers, network flows</t>
  </si>
  <si>
    <t>TPM / Cloud Architects</t>
  </si>
  <si>
    <t>Dependency map; shared-DB groups</t>
  </si>
  <si>
    <t>DS-04</t>
  </si>
  <si>
    <t>Database Migration</t>
  </si>
  <si>
    <t>Database inventory and profiling (size, version, extensions, growth, change rate)</t>
  </si>
  <si>
    <t>DBA Lead</t>
  </si>
  <si>
    <t>DB catalogue; compatibility findings</t>
  </si>
  <si>
    <t>DS-05</t>
  </si>
  <si>
    <t>6R disposition and preliminary wave assignment</t>
  </si>
  <si>
    <t>Cloud Architects / TPM</t>
  </si>
  <si>
    <t>Disposition per app; draft waves</t>
  </si>
  <si>
    <t>DS-06</t>
  </si>
  <si>
    <t>.NET Framework containerisation PoC (Windows containers vs rehost)</t>
  </si>
  <si>
    <t>Cloud Architects / .NET SMEs</t>
  </si>
  <si>
    <t>PoC result; rehost fallback confirmed</t>
  </si>
  <si>
    <t>DS-07</t>
  </si>
  <si>
    <t>Platform Foundation</t>
  </si>
  <si>
    <t>Target architecture decisions (ADRs): compute, PostgreSQL service, DR topology, network</t>
  </si>
  <si>
    <t>Cloud Architects</t>
  </si>
  <si>
    <t>Signed architecture decision records</t>
  </si>
  <si>
    <t>DS-08</t>
  </si>
  <si>
    <t>Cutover &amp; Hypercare</t>
  </si>
  <si>
    <t>Capture legacy performance baseline; define SLOs / SLIs</t>
  </si>
  <si>
    <t>SRE Lead</t>
  </si>
  <si>
    <t>Baseline report; SLO definitions</t>
  </si>
  <si>
    <t>DS-09</t>
  </si>
  <si>
    <t>Wave plan approved (cutover windows, resource loading)</t>
  </si>
  <si>
    <t>Approved wave plan</t>
  </si>
  <si>
    <t>DS-10</t>
  </si>
  <si>
    <t>Migration-factory kit: pipeline templates, cutover playbook, runbook templates</t>
  </si>
  <si>
    <t>Platform Lead</t>
  </si>
  <si>
    <t>Reusable templates</t>
  </si>
  <si>
    <t>DS-11</t>
  </si>
  <si>
    <t>Cost model and FinOps baseline (dual-run period, egress, commitments)</t>
  </si>
  <si>
    <t>Finance / TPM</t>
  </si>
  <si>
    <t>Cost forecast; legacy-cost baseline</t>
  </si>
  <si>
    <t>CLOUD FOUNDATION (LANDING ZONE)</t>
  </si>
  <si>
    <t>LZ-01</t>
  </si>
  <si>
    <t>Org hierarchy, projects/folders, org policies, billing and budget alerts</t>
  </si>
  <si>
    <t>Org structure and policies in IaC</t>
  </si>
  <si>
    <t>LZ-02</t>
  </si>
  <si>
    <t>Security</t>
  </si>
  <si>
    <t>Identity &amp; access: SSO federation, groups, least-privilege roles, privileged access</t>
  </si>
  <si>
    <t>Platform / Security</t>
  </si>
  <si>
    <t>IAM model implemented</t>
  </si>
  <si>
    <t>LZ-03</t>
  </si>
  <si>
    <t>Network: VPC / shared VPC, firewall, DNS, hybrid connectivity (Interconnect + VPN backup)</t>
  </si>
  <si>
    <t>Platform / Network</t>
  </si>
  <si>
    <t>Yes</t>
  </si>
  <si>
    <t>Tested hybrid connectivity</t>
  </si>
  <si>
    <t>LZ-04</t>
  </si>
  <si>
    <t>Security controls: CMEK/KMS, secrets management, SIEM logging, vulnerability scanning</t>
  </si>
  <si>
    <t>Security Lead</t>
  </si>
  <si>
    <t>Control baseline deployed</t>
  </si>
  <si>
    <t>LZ-05</t>
  </si>
  <si>
    <t>Observability: monitoring, logging, tracing, alerting, SLO dashboards</t>
  </si>
  <si>
    <t>SRE / Platform</t>
  </si>
  <si>
    <t>Central observability stack</t>
  </si>
  <si>
    <t>LZ-06</t>
  </si>
  <si>
    <t>Compute platform build (per ADR), registry, Windows node pool if required</t>
  </si>
  <si>
    <t>HA, autoscaling runtime</t>
  </si>
  <si>
    <t>LZ-07</t>
  </si>
  <si>
    <t>CI/CD and IaC: adapt existing pipelines, artifact registry, policy-as-code, deploy templates</t>
  </si>
  <si>
    <t>Reusable pipelines</t>
  </si>
  <si>
    <t>LZ-08</t>
  </si>
  <si>
    <t>Managed PostgreSQL pattern: HA, automated backup, PITR, cross-region replica, CMEK</t>
  </si>
  <si>
    <t>Approved DB reference pattern</t>
  </si>
  <si>
    <t>LZ-09</t>
  </si>
  <si>
    <t>Data-migration tooling and replication pipeline; throughput test over hybrid link</t>
  </si>
  <si>
    <t>Proven replication path</t>
  </si>
  <si>
    <t>LZ-10</t>
  </si>
  <si>
    <t>Compliance control mapping, evidence capture and landing-zone penetration test</t>
  </si>
  <si>
    <t>Control matrix; pen-test report</t>
  </si>
  <si>
    <t>LZ-11</t>
  </si>
  <si>
    <t>Landing-zone readiness review and security sign-off</t>
  </si>
  <si>
    <t>Security + Platform Leads</t>
  </si>
  <si>
    <t>Signed review</t>
  </si>
  <si>
    <t>M1: FOUNDATION READY (approver: Security + Platform)</t>
  </si>
  <si>
    <t>Gate</t>
  </si>
  <si>
    <t>LZ-11, DS-09</t>
  </si>
  <si>
    <t>Gate approval - nothing deploys to GCP before this</t>
  </si>
  <si>
    <t>M2-M6</t>
  </si>
  <si>
    <t>LZ-12</t>
  </si>
  <si>
    <t>Platform hardening, quota / capacity checks, cost guardrails (recurring)</t>
  </si>
  <si>
    <t>Capacity ready ahead of each wave</t>
  </si>
  <si>
    <t>PILOT WAVE (3 APPS: 1 .NET, 1 JAVA, 1 BATCH)</t>
  </si>
  <si>
    <t>PL-01</t>
  </si>
  <si>
    <t>Confirm pilot apps and discovery detail (Tier 3)</t>
  </si>
  <si>
    <t>App Teams</t>
  </si>
  <si>
    <t>Pilot scope confirmed</t>
  </si>
  <si>
    <t>PL-02</t>
  </si>
  <si>
    <t>Containerise and build pipelines in CI (no GCP deployment before M1)</t>
  </si>
  <si>
    <t>Container images; pipelines</t>
  </si>
  <si>
    <t>PL-03</t>
  </si>
  <si>
    <t>Deploy to GCP non-prod; secrets/config onboarding; observability wiring</t>
  </si>
  <si>
    <t>Platform / App Teams</t>
  </si>
  <si>
    <t>GATE-M1, PL-02</t>
  </si>
  <si>
    <t>Pilot running in non-prod</t>
  </si>
  <si>
    <t>PL-04</t>
  </si>
  <si>
    <t>Pilot DB initial load and continuous replication; lag monitoring</t>
  </si>
  <si>
    <t>Replicating DBs</t>
  </si>
  <si>
    <t>PL-05</t>
  </si>
  <si>
    <t>Testing</t>
  </si>
  <si>
    <t>Functional and regression testing (incl. batch scheduling)</t>
  </si>
  <si>
    <t>QA Lead</t>
  </si>
  <si>
    <t>Test report</t>
  </si>
  <si>
    <t>PL-06</t>
  </si>
  <si>
    <t>Performance, security (vuln scan, secrets, IAM) and data validation (counts, checksums)</t>
  </si>
  <si>
    <t>QA / Security / DBA</t>
  </si>
  <si>
    <t>Perf, security and reconciliation reports</t>
  </si>
  <si>
    <t>PL-07</t>
  </si>
  <si>
    <t>Cutover rehearsal #1 incl. rollback rehearsal</t>
  </si>
  <si>
    <t>Rehearsal record</t>
  </si>
  <si>
    <t>GATE-PILOT</t>
  </si>
  <si>
    <t>PILOT GO-LIVE approval (approver: Steering Committee) + CAB</t>
  </si>
  <si>
    <t>Go decision logged</t>
  </si>
  <si>
    <t>PL-08</t>
  </si>
  <si>
    <t>PILOT PRODUCTION CUTOVER (3 apps)</t>
  </si>
  <si>
    <t>SRE / App Teams</t>
  </si>
  <si>
    <t>Cutover</t>
  </si>
  <si>
    <t>OK</t>
  </si>
  <si>
    <t>Pilot live in GCP</t>
  </si>
  <si>
    <t>PL-09</t>
  </si>
  <si>
    <t>Pilot hypercare (14+ days, 24x7 SRE support)</t>
  </si>
  <si>
    <t>Incident log; SLO data</t>
  </si>
  <si>
    <t>PL-10</t>
  </si>
  <si>
    <t>Pilot DR test: zone failure, regional failover, PITR restore (measure RPO / RTO)</t>
  </si>
  <si>
    <t>SRE / DBA</t>
  </si>
  <si>
    <t>DR Test</t>
  </si>
  <si>
    <t>DR test report</t>
  </si>
  <si>
    <t>PL-11</t>
  </si>
  <si>
    <t>Pilot retrospective: update runbooks, tooling and wave estimates</t>
  </si>
  <si>
    <t>Lessons learned; updated factory kit</t>
  </si>
  <si>
    <t>M2: PILOT PROVEN (SLOs, rollback, DR test, runbooks)</t>
  </si>
  <si>
    <t>PL-10, PL-11</t>
  </si>
  <si>
    <t>Gate to scale to Wave 1-3</t>
  </si>
  <si>
    <t>M1-M2</t>
  </si>
  <si>
    <t>WAVE 1 (5 APPS - LOW COMPLEXITY, INDEPENDENT)</t>
  </si>
  <si>
    <t>W1-01</t>
  </si>
  <si>
    <t>Containerise, build pipelines and config for 5 Wave 1 apps</t>
  </si>
  <si>
    <t>Images and pipelines</t>
  </si>
  <si>
    <t>W1-02</t>
  </si>
  <si>
    <t>Deploy to GCP non-prod; integration endpoints; observability</t>
  </si>
  <si>
    <t>W1-01, GATE-M1</t>
  </si>
  <si>
    <t>Wave 1 in non-prod</t>
  </si>
  <si>
    <t>W1-03</t>
  </si>
  <si>
    <t>DB initial load and replication (5 DBs); lag monitoring</t>
  </si>
  <si>
    <t>W1-04</t>
  </si>
  <si>
    <t>Functional, regression, performance and security testing</t>
  </si>
  <si>
    <t>Test reports</t>
  </si>
  <si>
    <t>W1-05</t>
  </si>
  <si>
    <t>Data validation and reconciliation (counts, checksums)</t>
  </si>
  <si>
    <t>Reconciliation sign-off</t>
  </si>
  <si>
    <t>W1-06</t>
  </si>
  <si>
    <t>Apply pilot lessons learned; finalise runbooks and rollback plan</t>
  </si>
  <si>
    <t>TPM / SRE</t>
  </si>
  <si>
    <t>Updated runbooks</t>
  </si>
  <si>
    <t>W1-07</t>
  </si>
  <si>
    <t>Cutover rehearsal incl. rollback</t>
  </si>
  <si>
    <t>GATE-W1-GO</t>
  </si>
  <si>
    <t>WAVE 1 GO / NO-GO + CAB approval</t>
  </si>
  <si>
    <t>CAB</t>
  </si>
  <si>
    <t>W1-07, W1-05, W1-06, GATE-M2</t>
  </si>
  <si>
    <t>Approved change request</t>
  </si>
  <si>
    <t>W1-08</t>
  </si>
  <si>
    <t>WAVE 1 PRODUCTION CUTOVER (5 apps) - before year-end freeze</t>
  </si>
  <si>
    <t>GATE-W1-GO, GATE-M2</t>
  </si>
  <si>
    <t>Wave 1 live in GCP</t>
  </si>
  <si>
    <t>W1-09</t>
  </si>
  <si>
    <t>Wave 1 hypercare (runs through the freeze - no changes)</t>
  </si>
  <si>
    <t>Hypercare exit evidence</t>
  </si>
  <si>
    <t>W1-10</t>
  </si>
  <si>
    <t>Wave 1 DR test (zone and regional failover)</t>
  </si>
  <si>
    <t>W1-11</t>
  </si>
  <si>
    <t>Wave 1 performance validation and wave closure (Sev-1/2 closed)</t>
  </si>
  <si>
    <t>Closure checklist</t>
  </si>
  <si>
    <t>M3: WAVE 1 COMPLETE</t>
  </si>
  <si>
    <t>Steering Committee (proposed)</t>
  </si>
  <si>
    <t>W1-10, W1-11</t>
  </si>
  <si>
    <t>Gate approval</t>
  </si>
  <si>
    <t>W1-12</t>
  </si>
  <si>
    <t>Wave 1 legacy shutdown (read-only retention)</t>
  </si>
  <si>
    <t>Legacy workloads stopped</t>
  </si>
  <si>
    <t>WAVE 2 (6 APPS - COMPLEX, SHARED DATABASES, LEGACY WORKLOADS)</t>
  </si>
  <si>
    <t>W2-01</t>
  </si>
  <si>
    <t>Deep-dive: shared-DB groups (SDB-A/B/C), integration contracts, cutover grouping</t>
  </si>
  <si>
    <t>Cloud Architects / DBA</t>
  </si>
  <si>
    <t>Cutover grouping approved</t>
  </si>
  <si>
    <t>W2-02</t>
  </si>
  <si>
    <t>Containerise / limited refactor of 4 apps (2 Refactor, 2 Replatform)</t>
  </si>
  <si>
    <t>W2-03</t>
  </si>
  <si>
    <t>Rehost 2 legacy .NET apps to GCE Windows VMs</t>
  </si>
  <si>
    <t>App Teams / Platform</t>
  </si>
  <si>
    <t>Rehosted apps in non-prod</t>
  </si>
  <si>
    <t>M2-M3</t>
  </si>
  <si>
    <t>W2-04</t>
  </si>
  <si>
    <t>Deploy to non-prod and integration environments (shared-DB test)</t>
  </si>
  <si>
    <t>Integrated test environment</t>
  </si>
  <si>
    <t>W2-05</t>
  </si>
  <si>
    <t>Shared-DB replication and initial load (largest DBs); throughput and lag monitoring</t>
  </si>
  <si>
    <t>Replicating shared DBs</t>
  </si>
  <si>
    <t>W2-06</t>
  </si>
  <si>
    <t>Functional, integration, performance and security testing</t>
  </si>
  <si>
    <t>W2-07</t>
  </si>
  <si>
    <t>Data validation and reconciliation</t>
  </si>
  <si>
    <t>W2-08</t>
  </si>
  <si>
    <t>Cutover rehearsal #1</t>
  </si>
  <si>
    <t>W2-09</t>
  </si>
  <si>
    <t>Cutover rehearsal #2 (full simulation + reverse-replication rollback)</t>
  </si>
  <si>
    <t>GATE-W2-GO</t>
  </si>
  <si>
    <t>WAVE 2 GO / NO-GO + CAB approval</t>
  </si>
  <si>
    <t>W2-09, W2-07</t>
  </si>
  <si>
    <t>W2-10</t>
  </si>
  <si>
    <t>CUTOVER 2a: shared-DB groups SDB-A and SDB-B (4 Tier-2 apps)</t>
  </si>
  <si>
    <t>SRE / App Teams / DBA</t>
  </si>
  <si>
    <t>4 apps live</t>
  </si>
  <si>
    <t>W2-11</t>
  </si>
  <si>
    <t>CUTOVER 2b: shared-DB group SDB-C (2 Tier-1 apps)</t>
  </si>
  <si>
    <t>2 apps live</t>
  </si>
  <si>
    <t>W2-12</t>
  </si>
  <si>
    <t>Wave 2 hypercare</t>
  </si>
  <si>
    <t>W2-13</t>
  </si>
  <si>
    <t>Wave 2 DR test (shared-DB failover; RPO / RTO)</t>
  </si>
  <si>
    <t>W2-14</t>
  </si>
  <si>
    <t>Wave 2 performance validation and wave closure</t>
  </si>
  <si>
    <t>M4: WAVE 2 COMPLETE</t>
  </si>
  <si>
    <t>W2-14, W2-13</t>
  </si>
  <si>
    <t>W2-15</t>
  </si>
  <si>
    <t>Wave 2 legacy shutdown (read-only retention)</t>
  </si>
  <si>
    <t>WAVE 3 (6 APPS - REMAINING APPS, INCL. TIER 1, FINAL CUTOVERS)</t>
  </si>
  <si>
    <t>W3-01</t>
  </si>
  <si>
    <t>Detailed discovery incl. Tier-1 resiliency, vendor and regulatory touchpoints</t>
  </si>
  <si>
    <t>Tier-1 design addendum</t>
  </si>
  <si>
    <t>W3-02</t>
  </si>
  <si>
    <t>Containerise / refactor / build pipelines (5 Replatform, 1 Refactor)</t>
  </si>
  <si>
    <t>M3-M4</t>
  </si>
  <si>
    <t>W3-03</t>
  </si>
  <si>
    <t>Deploy to non-prod and integration environments</t>
  </si>
  <si>
    <t>Wave 3 in non-prod</t>
  </si>
  <si>
    <t>W3-04</t>
  </si>
  <si>
    <t>DB initial load and replication for Tier-1/2 DBs (largest data volume)</t>
  </si>
  <si>
    <t>W3-05</t>
  </si>
  <si>
    <t>W3-06</t>
  </si>
  <si>
    <t>Tier-1 peak-load and resiliency testing at production scale</t>
  </si>
  <si>
    <t>QA / SRE</t>
  </si>
  <si>
    <t>Load and resiliency report</t>
  </si>
  <si>
    <t>W3-07</t>
  </si>
  <si>
    <t>W3-08</t>
  </si>
  <si>
    <t>W3-09</t>
  </si>
  <si>
    <t>Cutover rehearsal #2 (full simulation incl. rollback, Tier 1)</t>
  </si>
  <si>
    <t>GATE-W3-GO</t>
  </si>
  <si>
    <t>WAVE 3 GO / NO-GO + CAB approval</t>
  </si>
  <si>
    <t>W3-09, W3-07</t>
  </si>
  <si>
    <t>W3-10</t>
  </si>
  <si>
    <t>CUTOVER 3a: Tier-2 apps (3 apps)</t>
  </si>
  <si>
    <t>3 apps live</t>
  </si>
  <si>
    <t>W3-11</t>
  </si>
  <si>
    <t>CUTOVER 3b: Tier-1 apps (3 apps) - final production cutover</t>
  </si>
  <si>
    <t>3 Tier-1 apps live</t>
  </si>
  <si>
    <t>W3-12</t>
  </si>
  <si>
    <t>Wave 3 hypercare (Tier-1 exit may need extension - see R-11)</t>
  </si>
  <si>
    <t>W3-13</t>
  </si>
  <si>
    <t>Wave 3 DR test (Tier-1 regional failover; RPO / RTO)</t>
  </si>
  <si>
    <t>W3-14</t>
  </si>
  <si>
    <t>Wave 3 performance validation and wave closure</t>
  </si>
  <si>
    <t>M5: WAVE 3 COMPLETE</t>
  </si>
  <si>
    <t>W3-14, W3-13</t>
  </si>
  <si>
    <t>W3-15</t>
  </si>
  <si>
    <t>Wave 3 legacy shutdown (read-only retention)</t>
  </si>
  <si>
    <t>DR VALIDATION, DECOMMISSION &amp; SRE HANDOFF</t>
  </si>
  <si>
    <t>FN-01</t>
  </si>
  <si>
    <t>Full-portfolio DR exercise: regional failover and failback, measured RPO / RTO (20 apps)</t>
  </si>
  <si>
    <t>Portfolio DR report</t>
  </si>
  <si>
    <t>FN-02</t>
  </si>
  <si>
    <t>Portfolio SLO / availability validation report (99.95% target)</t>
  </si>
  <si>
    <t>SLO attainment report</t>
  </si>
  <si>
    <t>FN-03</t>
  </si>
  <si>
    <t>Hypercare exit certification, all waves (Sev-1 14d, Sev-2 7d, defects, runbooks)</t>
  </si>
  <si>
    <t>Hypercare exit certificate</t>
  </si>
  <si>
    <t>FN-04</t>
  </si>
  <si>
    <t>SRE handoff: runbook validation, on-call readiness, support model, incident process</t>
  </si>
  <si>
    <t>Validated runbooks; on-call live</t>
  </si>
  <si>
    <t>FN-05</t>
  </si>
  <si>
    <t>Legacy data archival and retention validated; final backups taken</t>
  </si>
  <si>
    <t>DBA / Compliance</t>
  </si>
  <si>
    <t>Archive and retention evidence</t>
  </si>
  <si>
    <t>GATE-DR</t>
  </si>
  <si>
    <t>DR VALIDATION sign-off (approver: Infrastructure Leadership)</t>
  </si>
  <si>
    <t>Infrastructure Leadership</t>
  </si>
  <si>
    <t>DR validated</t>
  </si>
  <si>
    <t>FN-06</t>
  </si>
  <si>
    <t>Decommission readiness review (zero traffic, no consumers, contract / lease notices)</t>
  </si>
  <si>
    <t>Platform / TPM</t>
  </si>
  <si>
    <t>Readiness checklist</t>
  </si>
  <si>
    <t>FN-07</t>
  </si>
  <si>
    <t>FinOps review: rightsizing, commitments, cost vs forecast</t>
  </si>
  <si>
    <t>Finance / Platform</t>
  </si>
  <si>
    <t>FinOps report</t>
  </si>
  <si>
    <t>FN-08</t>
  </si>
  <si>
    <t>Final compliance evidence pack and audit sign-off</t>
  </si>
  <si>
    <t>Evidence pack accepted</t>
  </si>
  <si>
    <t>GATE-DECOM</t>
  </si>
  <si>
    <t>LEGACY DECOMMISSION approval (approver: Executive Sponsor)</t>
  </si>
  <si>
    <t>Executive Sponsor</t>
  </si>
  <si>
    <t>FN-06, GATE-DR</t>
  </si>
  <si>
    <t>Decommission authorised</t>
  </si>
  <si>
    <t>FN-09</t>
  </si>
  <si>
    <t>Decommission legacy infrastructure (Platforms A and B), secure wipe, contract exit</t>
  </si>
  <si>
    <t>Legacy retired</t>
  </si>
  <si>
    <t>FN-10</t>
  </si>
  <si>
    <t>SRE formal acceptance of ownership</t>
  </si>
  <si>
    <t>Signed acceptance</t>
  </si>
  <si>
    <t>M6: MIGRATION COMPLETE</t>
  </si>
  <si>
    <t>FN-09, FN-10, FN-02</t>
  </si>
  <si>
    <t>Program exit</t>
  </si>
  <si>
    <t>Application Migration Tracker</t>
  </si>
  <si>
    <t>App ID</t>
  </si>
  <si>
    <t>Application</t>
  </si>
  <si>
    <t>Runtime</t>
  </si>
  <si>
    <t>Workload Type</t>
  </si>
  <si>
    <t>Tier</t>
  </si>
  <si>
    <t>Wave</t>
  </si>
  <si>
    <t>Disposition</t>
  </si>
  <si>
    <t>Source Platform</t>
  </si>
  <si>
    <t>DB Size (TB)</t>
  </si>
  <si>
    <t>Shared DB Group</t>
  </si>
  <si>
    <t>Cutover Window</t>
  </si>
  <si>
    <t>Cutover Week</t>
  </si>
  <si>
    <t>Cutover Date</t>
  </si>
  <si>
    <t>Key Dependencies / Notes</t>
  </si>
  <si>
    <t>Current Status</t>
  </si>
  <si>
    <t>App-01</t>
  </si>
  <si>
    <t>App-01 [rename]</t>
  </si>
  <si>
    <t>.NET</t>
  </si>
  <si>
    <t>Web</t>
  </si>
  <si>
    <t>Pilot</t>
  </si>
  <si>
    <t>Replatform</t>
  </si>
  <si>
    <t>Legacy A</t>
  </si>
  <si>
    <t>Pilot .NET app; validates Windows-container path and IIS/auth handling</t>
  </si>
  <si>
    <t>App-02</t>
  </si>
  <si>
    <t>App-02 [rename]</t>
  </si>
  <si>
    <t>Java</t>
  </si>
  <si>
    <t>API</t>
  </si>
  <si>
    <t>Legacy B</t>
  </si>
  <si>
    <t>Pilot Java app; validates JVM container baseline and DB replication</t>
  </si>
  <si>
    <t>App-03</t>
  </si>
  <si>
    <t>App-03 [rename]</t>
  </si>
  <si>
    <t>Batch</t>
  </si>
  <si>
    <t>Pilot batch app; validates scheduler integration and job re-runs</t>
  </si>
  <si>
    <t>App-04</t>
  </si>
  <si>
    <t>App-04 [rename]</t>
  </si>
  <si>
    <t>Wave 1</t>
  </si>
  <si>
    <t>W1</t>
  </si>
  <si>
    <t>Independent; internal users</t>
  </si>
  <si>
    <t>App-05</t>
  </si>
  <si>
    <t>App-05 [rename]</t>
  </si>
  <si>
    <t>Independent API; confirm consumer list in discovery</t>
  </si>
  <si>
    <t>App-06</t>
  </si>
  <si>
    <t>App-06 [rename]</t>
  </si>
  <si>
    <t>Independent service</t>
  </si>
  <si>
    <t>App-07</t>
  </si>
  <si>
    <t>App-07 [rename]</t>
  </si>
  <si>
    <t>Independent; SSO integration</t>
  </si>
  <si>
    <t>App-08</t>
  </si>
  <si>
    <t>App-08 [rename]</t>
  </si>
  <si>
    <t>Batch; scheduler / file-drop dependencies</t>
  </si>
  <si>
    <t>App-09</t>
  </si>
  <si>
    <t>App-09 [rename]</t>
  </si>
  <si>
    <t>Wave 2</t>
  </si>
  <si>
    <t>Rehost</t>
  </si>
  <si>
    <t>SDB-A</t>
  </si>
  <si>
    <t>W2a</t>
  </si>
  <si>
    <t>Legacy .NET Framework; shares DB with App-10; GCE Windows VM</t>
  </si>
  <si>
    <t>App-10</t>
  </si>
  <si>
    <t>App-10 [rename]</t>
  </si>
  <si>
    <t>Shares SDB-A with App-09 - must cut over together</t>
  </si>
  <si>
    <t>App-11</t>
  </si>
  <si>
    <t>App-11 [rename]</t>
  </si>
  <si>
    <t>Refactor</t>
  </si>
  <si>
    <t>SDB-B</t>
  </si>
  <si>
    <t>Shares DB with App-12; limited refactor to decouple</t>
  </si>
  <si>
    <t>App-12</t>
  </si>
  <si>
    <t>App-12 [rename]</t>
  </si>
  <si>
    <t>Shares SDB-B with App-11</t>
  </si>
  <si>
    <t>App-13</t>
  </si>
  <si>
    <t>App-13 [rename]</t>
  </si>
  <si>
    <t>SDB-C</t>
  </si>
  <si>
    <t>W2b</t>
  </si>
  <si>
    <t>Revenue-critical; shares DB with App-14; strict RTO / RPO</t>
  </si>
  <si>
    <t>App-14</t>
  </si>
  <si>
    <t>App-14 [rename]</t>
  </si>
  <si>
    <t>Shares SDB-C with App-13; customer-facing</t>
  </si>
  <si>
    <t>App-15</t>
  </si>
  <si>
    <t>App-15 [rename]</t>
  </si>
  <si>
    <t>Wave 3</t>
  </si>
  <si>
    <t>W3a</t>
  </si>
  <si>
    <t>Depends on Wave 2 services - validate in coexistence</t>
  </si>
  <si>
    <t>App-16</t>
  </si>
  <si>
    <t>App-16 [rename]</t>
  </si>
  <si>
    <t>Business-critical; third-party integrations</t>
  </si>
  <si>
    <t>App-17</t>
  </si>
  <si>
    <t>App-17 [rename]</t>
  </si>
  <si>
    <t>Batch; month-end processing - avoid month-end cutover</t>
  </si>
  <si>
    <t>App-18</t>
  </si>
  <si>
    <t>App-18 [rename]</t>
  </si>
  <si>
    <t>W3b</t>
  </si>
  <si>
    <t>Tier 1; largest DB; peak-load testing mandatory</t>
  </si>
  <si>
    <t>App-19</t>
  </si>
  <si>
    <t>App-19 [rename]</t>
  </si>
  <si>
    <t>Tier 1; refactor for HA; partner traffic</t>
  </si>
  <si>
    <t>App-20</t>
  </si>
  <si>
    <t>App-20 [rename]</t>
  </si>
  <si>
    <t>Tier 1; customer-facing; vendor IP allow-listing</t>
  </si>
  <si>
    <t>Milestone &amp; Gate Readiness</t>
  </si>
  <si>
    <t>Gate ID</t>
  </si>
  <si>
    <t>Gate / Decision Point</t>
  </si>
  <si>
    <t>Target Week</t>
  </si>
  <si>
    <t>Target Date</t>
  </si>
  <si>
    <t>Approver</t>
  </si>
  <si>
    <t># Criteria</t>
  </si>
  <si>
    <t># Complete</t>
  </si>
  <si>
    <t>Readiness %</t>
  </si>
  <si>
    <t>Decision / Notes</t>
  </si>
  <si>
    <t>M1: FOUNDATION READY</t>
  </si>
  <si>
    <t>PILOT GO-LIVE APPROVAL + CAB</t>
  </si>
  <si>
    <t>Steering Committee / CAB</t>
  </si>
  <si>
    <t>M2: PILOT PROVEN</t>
  </si>
  <si>
    <t>WAVE 1 GO / NO-GO + CAB</t>
  </si>
  <si>
    <t>WAVE 2 GO / NO-GO + CAB</t>
  </si>
  <si>
    <t>WAVE 3 GO / NO-GO + CAB</t>
  </si>
  <si>
    <t>DR VALIDATION SIGN-OFF</t>
  </si>
  <si>
    <t>LEGACY DECOMMISSION APPROVAL</t>
  </si>
  <si>
    <t>RAG Logic</t>
  </si>
  <si>
    <t>0 criteria complete</t>
  </si>
  <si>
    <t>Red</t>
  </si>
  <si>
    <t>1%-74% complete</t>
  </si>
  <si>
    <t>75%-99% complete</t>
  </si>
  <si>
    <t>100% complete</t>
  </si>
  <si>
    <t>Gate Exit-Criteria Checklist</t>
  </si>
  <si>
    <t>Update only the Status column. Gate Readiness calculates automatically from this checklist.</t>
  </si>
  <si>
    <t>Exit Criterion</t>
  </si>
  <si>
    <t>Evidence / Artefact</t>
  </si>
  <si>
    <t>Source</t>
  </si>
  <si>
    <t>Comments / Evidence Link</t>
  </si>
  <si>
    <t>Landing zone approved</t>
  </si>
  <si>
    <t>Architecture review record</t>
  </si>
  <si>
    <t>Plan</t>
  </si>
  <si>
    <t>Security sign-off obtained</t>
  </si>
  <si>
    <t>Signed assessment; pen-test closure</t>
  </si>
  <si>
    <t>Application inventory completed</t>
  </si>
  <si>
    <t>Inventory reconciled with CMDB (20 apps)</t>
  </si>
  <si>
    <t>Dependency map completed</t>
  </si>
  <si>
    <t>Wave plan approved</t>
  </si>
  <si>
    <t>Wave plan signed by SteerCo</t>
  </si>
  <si>
    <t>Hybrid connectivity tested at required bandwidth</t>
  </si>
  <si>
    <t>Throughput test report</t>
  </si>
  <si>
    <t>Added</t>
  </si>
  <si>
    <t>Target architecture decisions approved (compute, PostgreSQL service, DR topology)</t>
  </si>
  <si>
    <t>Signed ADRs</t>
  </si>
  <si>
    <t>Change calendar, freeze windows and CAB slots agreed</t>
  </si>
  <si>
    <t>Published calendar</t>
  </si>
  <si>
    <t>Compliance control mapping and evidence process accepted</t>
  </si>
  <si>
    <t>Control matrix</t>
  </si>
  <si>
    <t>Managed PostgreSQL HA / PITR / cross-region replica pattern proven in sandbox</t>
  </si>
  <si>
    <t>Test record</t>
  </si>
  <si>
    <t>Functional, regression, performance and security tests complete</t>
  </si>
  <si>
    <t>Test summary report</t>
  </si>
  <si>
    <t>Data validation: counts and checksums reconcile 100%</t>
  </si>
  <si>
    <t>Reconciliation report</t>
  </si>
  <si>
    <t>Rollback validated in rehearsal</t>
  </si>
  <si>
    <t>CAB change approval</t>
  </si>
  <si>
    <t>Stakeholder sign-off</t>
  </si>
  <si>
    <t>Application Owners</t>
  </si>
  <si>
    <t>Sign-off record</t>
  </si>
  <si>
    <t>War-room roster, comms plan and decision log ready</t>
  </si>
  <si>
    <t>Cutover comms pack</t>
  </si>
  <si>
    <t>Pilot applications successfully migrated</t>
  </si>
  <si>
    <t>Cutover record</t>
  </si>
  <si>
    <t>SLOs validated</t>
  </si>
  <si>
    <t>SLO report</t>
  </si>
  <si>
    <t>Migration runbooks completed</t>
  </si>
  <si>
    <t>Validated runbooks</t>
  </si>
  <si>
    <t>Rollback tested</t>
  </si>
  <si>
    <t>DR test passed</t>
  </si>
  <si>
    <t>SRE Lead / DBA Lead</t>
  </si>
  <si>
    <t>14 days Sev-1-free hypercare and no open Sev-2</t>
  </si>
  <si>
    <t>Incident log</t>
  </si>
  <si>
    <t>Lessons learned incorporated into factory kit and wave estimates</t>
  </si>
  <si>
    <t>Retro actions closed</t>
  </si>
  <si>
    <t>Cloud cost actuals reviewed against forecast</t>
  </si>
  <si>
    <t>Finance</t>
  </si>
  <si>
    <t>Cost report</t>
  </si>
  <si>
    <t>Test completion (functional, performance, security)</t>
  </si>
  <si>
    <t>Change approval (CAB)</t>
  </si>
  <si>
    <t>Replication lag within threshold; data reconciled</t>
  </si>
  <si>
    <t>No open Sev-1 / Sev-2 from previous wave</t>
  </si>
  <si>
    <t>Vendor allow-listing, DNS and certificate changes ready</t>
  </si>
  <si>
    <t>Checklist</t>
  </si>
  <si>
    <t>Freeze-calendar check passed (Roadmap Freeze Check = OK)</t>
  </si>
  <si>
    <t>Roadmap</t>
  </si>
  <si>
    <t>Applications migrated</t>
  </si>
  <si>
    <t>Performance validated</t>
  </si>
  <si>
    <t>Perf report</t>
  </si>
  <si>
    <t>No unresolved Sev-1 or Sev-2 issues</t>
  </si>
  <si>
    <t>Hypercare completed (14-day Sev-1-free)</t>
  </si>
  <si>
    <t>Wave DR test passed (RPO &lt;= 5 min, RTO &lt;= 60 min)</t>
  </si>
  <si>
    <t>Legacy apps set read-only; shutdown scheduled</t>
  </si>
  <si>
    <t>Change record</t>
  </si>
  <si>
    <t>Lessons learned captured and applied</t>
  </si>
  <si>
    <t>Retro actions</t>
  </si>
  <si>
    <t>Zone-failure test passed</t>
  </si>
  <si>
    <t>Regional failover test passed</t>
  </si>
  <si>
    <t>Measured RPO &lt;= 5 minutes</t>
  </si>
  <si>
    <t>Measured results</t>
  </si>
  <si>
    <t>Measured RTO &lt;= 60 minutes</t>
  </si>
  <si>
    <t>Failback validated</t>
  </si>
  <si>
    <t>Infrastructure Leadership sign-off</t>
  </si>
  <si>
    <t>All applications live in GCP; hypercare exited</t>
  </si>
  <si>
    <t>Hypercare certificate</t>
  </si>
  <si>
    <t>Legacy data archived; retention requirements validated</t>
  </si>
  <si>
    <t>DBA Lead / Compliance</t>
  </si>
  <si>
    <t>Archive evidence</t>
  </si>
  <si>
    <t>Zero traffic to legacy confirmed</t>
  </si>
  <si>
    <t>Traffic reports</t>
  </si>
  <si>
    <t>Contract / lease exit notices issued</t>
  </si>
  <si>
    <t>Procurement</t>
  </si>
  <si>
    <t>Notices</t>
  </si>
  <si>
    <t>Rollback window closed (point of no return agreed)</t>
  </si>
  <si>
    <t>Decision log</t>
  </si>
  <si>
    <t>Executive Sponsor approval</t>
  </si>
  <si>
    <t>All 20 applications running in GCP</t>
  </si>
  <si>
    <t>Inventory vs status</t>
  </si>
  <si>
    <t>SLOs green</t>
  </si>
  <si>
    <t>Legacy infrastructure decommissioned</t>
  </si>
  <si>
    <t>Decommission evidence</t>
  </si>
  <si>
    <t>SRE handoff completed</t>
  </si>
  <si>
    <t>Final compliance evidence pack accepted</t>
  </si>
  <si>
    <t>Evidence pack</t>
  </si>
  <si>
    <t>Budget variance reported and closed</t>
  </si>
  <si>
    <t>Final cost report</t>
  </si>
  <si>
    <t>Dependency Register</t>
  </si>
  <si>
    <t>ID</t>
  </si>
  <si>
    <t>Category</t>
  </si>
  <si>
    <t>Dependency</t>
  </si>
  <si>
    <t>Provider / Owner</t>
  </si>
  <si>
    <t>Blocks Task ID</t>
  </si>
  <si>
    <t>Blocked Task</t>
  </si>
  <si>
    <t>Needed-by Wk</t>
  </si>
  <si>
    <t>Needed-by Date</t>
  </si>
  <si>
    <t>Lead Time (wks)</t>
  </si>
  <si>
    <t>Latest Start Wk</t>
  </si>
  <si>
    <t>Latest Start Date</t>
  </si>
  <si>
    <t>Urgency</t>
  </si>
  <si>
    <t>Waves Affected</t>
  </si>
  <si>
    <t>Mitigation / Action</t>
  </si>
  <si>
    <t>D-01</t>
  </si>
  <si>
    <t>Technical</t>
  </si>
  <si>
    <t>Hybrid connectivity (Dedicated/Partner Interconnect + HA VPN backup) sized for tens-of-TB replication; carrier circuit and cross-connect provisioning</t>
  </si>
  <si>
    <t>Platform Lead / Network / Carrier</t>
  </si>
  <si>
    <t>START AT KICKOFF</t>
  </si>
  <si>
    <t>All</t>
  </si>
  <si>
    <t>Order circuits at kickoff; stand up HA VPN as interim path; size for peak concurrent replication (Wave 2 + 3); fallback: offline transfer appliance for initial seed</t>
  </si>
  <si>
    <t>D-02</t>
  </si>
  <si>
    <t>Identity: SSO / IdP federation, service accounts, Kerberos / Windows-integrated auth for .NET apps across GCP and legacy</t>
  </si>
  <si>
    <t>Identity team / Security</t>
  </si>
  <si>
    <t>START IN MONTH 1</t>
  </si>
  <si>
    <t>All (.NET esp.)</t>
  </si>
  <si>
    <t>Design in DS-07; test in pilot .NET app; keep AD trust path during coexistence</t>
  </si>
  <si>
    <t>D-03</t>
  </si>
  <si>
    <t>Shared databases between apps (SDB-A / B / C) - apps must cut over together or be decoupled first</t>
  </si>
  <si>
    <t>DBA Lead / App Teams</t>
  </si>
  <si>
    <t>Group apps by DB for cutover; decouple via APIs where cheap; rehearse group cutover twice</t>
  </si>
  <si>
    <t>D-04</t>
  </si>
  <si>
    <t>Middleware / message queues reachable from GCP while apps are split across platforms</t>
  </si>
  <si>
    <t>Middleware team</t>
  </si>
  <si>
    <t>Waves 1-3</t>
  </si>
  <si>
    <t>Network path + firewall rules before non-prod; confirm MQ licensing / cloud support</t>
  </si>
  <si>
    <t>D-05</t>
  </si>
  <si>
    <t>File transfers (SFTP / MFT) - partner endpoints, keys and schedules must be re-pointed</t>
  </si>
  <si>
    <t>Integration team / App Teams</t>
  </si>
  <si>
    <t>Inventory all inbound/outbound transfers in DS-03; agree partner change windows early</t>
  </si>
  <si>
    <t>D-06</t>
  </si>
  <si>
    <t>Internal API coexistence - chatty calls between GCP and legacy add latency during split state</t>
  </si>
  <si>
    <t>Waves 2-3</t>
  </si>
  <si>
    <t>Keep chatty apps in the same wave; measure latency in non-prod; use caching / batching where needed</t>
  </si>
  <si>
    <t>D-07</t>
  </si>
  <si>
    <t>DNS, load-balancer and certificate (PKI) cutover; lower TTLs 48-72h before each cutover</t>
  </si>
  <si>
    <t>Network / Platform</t>
  </si>
  <si>
    <t>Standard pre-cutover checklist maintained in the approved cutover runbook; test certificate chain in non-prod</t>
  </si>
  <si>
    <t>D-08</t>
  </si>
  <si>
    <t>PostgreSQL version / extension / role compatibility with the chosen managed service; storage limits vs largest DBs</t>
  </si>
  <si>
    <t>All DB moves</t>
  </si>
  <si>
    <t>DS-04 profiling; compatibility test in sandbox; fall back to self-managed PostgreSQL for exceptions</t>
  </si>
  <si>
    <t>D-09</t>
  </si>
  <si>
    <t>Secrets, keys and certificates migration (CMEK/KMS, HSM-backed keys where required)</t>
  </si>
  <si>
    <t>Secrets inventory in discovery; no secrets in images; rotate at cutover</t>
  </si>
  <si>
    <t>D-10</t>
  </si>
  <si>
    <t>Integration with enterprise SIEM, ITSM and monitoring tools</t>
  </si>
  <si>
    <t>SRE / Security</t>
  </si>
  <si>
    <t>Agree log/metric export design in DS-07; test alert routing in pilot</t>
  </si>
  <si>
    <t>D-11</t>
  </si>
  <si>
    <t>Masked, prod-like test data available for non-prod testing</t>
  </si>
  <si>
    <t>QA Lead / DBA Lead</t>
  </si>
  <si>
    <t>Data-masking pipeline built with LZ-09; privacy sign-off</t>
  </si>
  <si>
    <t>D-12</t>
  </si>
  <si>
    <t>Batch scheduler integration (job dependencies, calendars, re-run behaviour)</t>
  </si>
  <si>
    <t>App Teams / Ops</t>
  </si>
  <si>
    <t>Pilot, W1, W3</t>
  </si>
  <si>
    <t>Pilot batch app proves the pattern; document re-run/restart procedures</t>
  </si>
  <si>
    <t>D-13</t>
  </si>
  <si>
    <t>Windows licensing and Windows-node support for .NET Framework workloads (containers or GCE)</t>
  </si>
  <si>
    <t>Platform Lead / Procurement</t>
  </si>
  <si>
    <t>Decide container vs VM in DS-06; confirm licence mobility early</t>
  </si>
  <si>
    <t>D-14</t>
  </si>
  <si>
    <t>Organizational</t>
  </si>
  <si>
    <t>Security sign-off of the landing zone (pen-test, control mapping)</t>
  </si>
  <si>
    <t>Security engineer embedded in platform team; weekly security review; pre-agreed patterns</t>
  </si>
  <si>
    <t>D-15</t>
  </si>
  <si>
    <t>GCP quotas (vCPU, IPs, DB instances) raised ahead of peak waves</t>
  </si>
  <si>
    <t>Platform Lead / Google TAM</t>
  </si>
  <si>
    <t>Request quota increases at M1 and again before Wave 2 and Wave 3 non-prod</t>
  </si>
  <si>
    <t>D-16</t>
  </si>
  <si>
    <t>CAB slots and change-freeze calendar for every production cutover</t>
  </si>
  <si>
    <t>Book all cutover slots in PM-04; check Freeze Check column on Roadmap</t>
  </si>
  <si>
    <t>D-17</t>
  </si>
  <si>
    <t>Environment provisioning requests through ITSM (non-prod, UAT, access)</t>
  </si>
  <si>
    <t>Pre-raise requests for every wave in PM-03; use IaC for self-service</t>
  </si>
  <si>
    <t>D-18</t>
  </si>
  <si>
    <t>SME backfill - application SMEs and DBAs released from BAU</t>
  </si>
  <si>
    <t>App Owners / Hiring managers</t>
  </si>
  <si>
    <t>Backfill approved in PM-03; resource loading reviewed monthly</t>
  </si>
  <si>
    <t>D-19</t>
  </si>
  <si>
    <t>Business UAT availability and sign-off (esp. Tier 1)</t>
  </si>
  <si>
    <t>Business owners / Change Manager</t>
  </si>
  <si>
    <t>UAT windows booked at wave plan approval; delegate approvers named</t>
  </si>
  <si>
    <t>D-20</t>
  </si>
  <si>
    <t>Funding release, billing account and GCP commitment in place</t>
  </si>
  <si>
    <t>Finance / Executive Sponsor</t>
  </si>
  <si>
    <t>Confirm at kickoff (assumption in program plan)</t>
  </si>
  <si>
    <t>D-21</t>
  </si>
  <si>
    <t>Third-party / vendor-risk assessment of GCP services in scope</t>
  </si>
  <si>
    <t>Compliance / Procurement</t>
  </si>
  <si>
    <t>Start at kickoff; reuse existing cloud risk assessments where possible</t>
  </si>
  <si>
    <t>D-22</t>
  </si>
  <si>
    <t>SRE training and on-call onboarding for new platform</t>
  </si>
  <si>
    <t>SRE engaged from Month 1; shadow on-call from pilot</t>
  </si>
  <si>
    <t>D-23</t>
  </si>
  <si>
    <t>Pilot gate (M2) approved before any wave production cutover (Non-negotiable #2)</t>
  </si>
  <si>
    <t>Pilot go/no-go criteria agreed at M1; retro feeds Wave 1 runbooks</t>
  </si>
  <si>
    <t>D-24</t>
  </si>
  <si>
    <t>External</t>
  </si>
  <si>
    <t>Third-party vendors / partners must allow-list new GCP egress IPs and accept changed endpoints</t>
  </si>
  <si>
    <t>Vendor Management</t>
  </si>
  <si>
    <t>Reserve static egress IPs early; send change notices at wave plan approval</t>
  </si>
  <si>
    <t>D-25</t>
  </si>
  <si>
    <t>Regulatory notification / approval for material cloud outsourcing (as applicable to your regulator)</t>
  </si>
  <si>
    <t>Compliance / Legal</t>
  </si>
  <si>
    <t>Confirm obligations at kickoff (PM-05); start any pre-notification immediately</t>
  </si>
  <si>
    <t>D-26</t>
  </si>
  <si>
    <t>Google Cloud account team: support tier, TAM, quota escalations, architecture review</t>
  </si>
  <si>
    <t>Engage at kickoff; named escalation contacts</t>
  </si>
  <si>
    <t>D-27</t>
  </si>
  <si>
    <t>Legacy platform contracts, leases and exit-notice periods (needed for decommission in Month 6)</t>
  </si>
  <si>
    <t>Procurement / Infrastructure</t>
  </si>
  <si>
    <t>Review contracts in Month 1; serve notices when waves complete</t>
  </si>
  <si>
    <t>D-28</t>
  </si>
  <si>
    <t>ISV / third-party software licensing and cloud support statements</t>
  </si>
  <si>
    <t>Inventory ISV components in DS-02; confirm supported on GCE / containers</t>
  </si>
  <si>
    <t>D-29</t>
  </si>
  <si>
    <t>Customer / partner communications for Tier-1 downtime windows</t>
  </si>
  <si>
    <t>Business owners / Comms</t>
  </si>
  <si>
    <t>Agree notice periods in contracts; schedule outside business peaks</t>
  </si>
  <si>
    <t>Top 15 Program Risks</t>
  </si>
  <si>
    <t>Risk</t>
  </si>
  <si>
    <t>Impact</t>
  </si>
  <si>
    <t>Linked Tasks</t>
  </si>
  <si>
    <t>Score</t>
  </si>
  <si>
    <t>Mitigation</t>
  </si>
  <si>
    <t>Contingency</t>
  </si>
  <si>
    <t>Early Warning</t>
  </si>
  <si>
    <t>Due Week</t>
  </si>
  <si>
    <t>Residual RAG</t>
  </si>
  <si>
    <t>Escalation Path</t>
  </si>
  <si>
    <t>R-01</t>
  </si>
  <si>
    <t>Schedule</t>
  </si>
  <si>
    <t>Hidden / unmapped dependencies surface late</t>
  </si>
  <si>
    <t>Schedule delay; failed cutover; wave re-plan</t>
  </si>
  <si>
    <t>All waves; DS-03</t>
  </si>
  <si>
    <t>Discovery workshops; network-flow capture on legacy (&gt;= 30 days); weekly Dependency Review Board; dependency freeze at wave plan approval</t>
  </si>
  <si>
    <t>Add coexistence connectivity; hold wave until dependency resolved</t>
  </si>
  <si>
    <t>&gt; 2 new dependencies found per wave after plan lock</t>
  </si>
  <si>
    <t>Owner -&gt; TPM -&gt; Steering Committee -&gt; Executive Sponsor</t>
  </si>
  <si>
    <t>Open</t>
  </si>
  <si>
    <t>R-05</t>
  </si>
  <si>
    <t>Infrastructure</t>
  </si>
  <si>
    <t>Hybrid network capacity or provisioning delays</t>
  </si>
  <si>
    <t>Replication cannot keep pace; waves slip</t>
  </si>
  <si>
    <t>LZ-03, LZ-09; Waves 2-3</t>
  </si>
  <si>
    <t>Order circuits at kickoff; HA VPN interim; redundant paths; throttling plan; replication throughput test at W3-4</t>
  </si>
  <si>
    <t>Offline transfer appliance for bulk seed; re-sequence large DBs</t>
  </si>
  <si>
    <t>Circuit delivery date slips beyond W4</t>
  </si>
  <si>
    <t>R-07</t>
  </si>
  <si>
    <t>Resource</t>
  </si>
  <si>
    <t>Resource constraints: SMEs, DBAs, SRE oversubscribed across overlapping waves</t>
  </si>
  <si>
    <t>Reduced throughput; quality shortcuts</t>
  </si>
  <si>
    <t>W9-W17</t>
  </si>
  <si>
    <t>Resource-loading plan per wave; backfill approved at kickoff; dedicated migration capacity; deputy / PMO analyst for TPM</t>
  </si>
  <si>
    <t>Re-sequence Wave 3 prep; defer non-critical refactors</t>
  </si>
  <si>
    <t>Utilisation &gt; 90% for key roles; stand-ups reporting blocked on people</t>
  </si>
  <si>
    <t>R-12</t>
  </si>
  <si>
    <t>Shared-DB coupling forces multi-app big-bang cutovers in Wave 2</t>
  </si>
  <si>
    <t>Larger blast radius; harder rollback</t>
  </si>
  <si>
    <t>Group cutovers by DB; split into 2a / 2b; decouple through APIs where cheap; 2 full rehearsals</t>
  </si>
  <si>
    <t>Postpone coupled apps to later window; extended rollback window</t>
  </si>
  <si>
    <t>Rehearsal #1 fails or exceeds window</t>
  </si>
  <si>
    <t>Cloud Architect / DBA Lead</t>
  </si>
  <si>
    <t>R-29</t>
  </si>
  <si>
    <t>Data volume back-loaded into Wave 3; replication seeding overlaps Wave 2 on the same hybrid link</t>
  </si>
  <si>
    <t>Replication cannot catch up; cutover delay</t>
  </si>
  <si>
    <t>W2-05, W3-04</t>
  </si>
  <si>
    <t>Start Wave 3 seeding for largest DBs as early as safe; schedule bandwidth; QoS on link; consider offline seed</t>
  </si>
  <si>
    <t>Delay 3b; split DB cutovers</t>
  </si>
  <si>
    <t>Replication lag trend &gt; 10 min after seeding</t>
  </si>
  <si>
    <t>DBA Lead / Platform Lead</t>
  </si>
  <si>
    <t>R-03</t>
  </si>
  <si>
    <t>Data</t>
  </si>
  <si>
    <t>Data loss or corruption during migration of tens of TB</t>
  </si>
  <si>
    <t>Customer / regulatory impact; program failure</t>
  </si>
  <si>
    <t>Continuous replication with lag monitoring; counts + checksums + reconciliation; 2 rehearsals; cutover only when lag &lt; agreed threshold</t>
  </si>
  <si>
    <t>Roll back to legacy using reverse replication; restore from PITR</t>
  </si>
  <si>
    <t>Replication lag trend rising; reconciliation variance &gt; 0</t>
  </si>
  <si>
    <t>R-09</t>
  </si>
  <si>
    <t>Resilience</t>
  </si>
  <si>
    <t>DR targets not achieved (RPO &lt;= 5 min, RTO &lt;= 60 min, 99.95% availability)</t>
  </si>
  <si>
    <t>Program failure / M2, M6 not met</t>
  </si>
  <si>
    <t>PL-10; W*-DR tests; FN-01</t>
  </si>
  <si>
    <t>DR topology ADR at W2; DR tests in pilot and every wave; automate failover; measure RPO/RTO each test</t>
  </si>
  <si>
    <t>Upgrade DB tier / replication mode; add warm standby; re-test</t>
  </si>
  <si>
    <t>Measured RPO or RTO &gt; 80% of target in any test</t>
  </si>
  <si>
    <t>R-13</t>
  </si>
  <si>
    <t>Rollback after DB cutover is complex (data written in GCP)</t>
  </si>
  <si>
    <t>Extended outage; data divergence</t>
  </si>
  <si>
    <t>All cutovers</t>
  </si>
  <si>
    <t>Define rollback policy and point of no return per wave (DEC-08); reverse replication; rollback rehearsal; time-boxed decisions</t>
  </si>
  <si>
    <t>Forward-fix with war-room authority; restore from PITR</t>
  </si>
  <si>
    <t>Rollback rehearsal exceeds RTO</t>
  </si>
  <si>
    <t>DBA Lead / SRE Lead</t>
  </si>
  <si>
    <t>R-02</t>
  </si>
  <si>
    <t>Legacy .NET Framework apps not container-compatible</t>
  </si>
  <si>
    <t>Migration delay; rework</t>
  </si>
  <si>
    <t>Wave 2 (rehost); DS-06</t>
  </si>
  <si>
    <t>Early PoC (DS-06); 2 apps already planned as Rehost; Windows node pool / GCE fallback</t>
  </si>
  <si>
    <t>Rehost on GCE Windows VMs</t>
  </si>
  <si>
    <t>PoC fails or needs &gt; 2 weeks of rework per app</t>
  </si>
  <si>
    <t>Cloud Architect</t>
  </si>
  <si>
    <t>R-04</t>
  </si>
  <si>
    <t>PostgreSQL incompatible with managed service (version, extensions, privileges, storage limits)</t>
  </si>
  <si>
    <t>Redesign; delay; cost</t>
  </si>
  <si>
    <t>LZ-08; all DBs</t>
  </si>
  <si>
    <t>DS-04 profiling; compatibility test in sandbox; DB service ADR at W2</t>
  </si>
  <si>
    <t>Self-managed PostgreSQL on GCE for exceptions; shard / archive large DBs</t>
  </si>
  <si>
    <t>Any unsupported extension in profiling output</t>
  </si>
  <si>
    <t>R-06</t>
  </si>
  <si>
    <t>Security approval delays / findings block landing zone or releases</t>
  </si>
  <si>
    <t>Release blockage; M1 slips</t>
  </si>
  <si>
    <t>GATE-M1; all waves</t>
  </si>
  <si>
    <t>Security embedded from Day 1; pre-approved patterns; weekly security review; findings triaged by severity</t>
  </si>
  <si>
    <t>Time-boxed exception process with compensating controls</t>
  </si>
  <si>
    <t>&gt; 3 high findings open one week before M1</t>
  </si>
  <si>
    <t>R-10</t>
  </si>
  <si>
    <t>Year-end / quarter-end freezes and holidays compress cutover windows</t>
  </si>
  <si>
    <t>Cutover slips by 3-4 weeks; Month-3 milestone missed</t>
  </si>
  <si>
    <t>PL-08, W1-08, W2-10</t>
  </si>
  <si>
    <t>Freeze calendar maintained in the program change calendar; Wave 1 cutover scheduled before freeze; hypercare spans the freeze</t>
  </si>
  <si>
    <t>Use cutover contingency week; move pilot cutover to Mon-Tue of W7</t>
  </si>
  <si>
    <t>Any planned cutover or DR test overlaps an approved freeze window</t>
  </si>
  <si>
    <t>R-11</t>
  </si>
  <si>
    <t>Compressed end-game: Tier-1 cutover in W19 leaves ~7 weeks to M6; Tier-1 hypercare may need extension</t>
  </si>
  <si>
    <t>M6 / decommission slips</t>
  </si>
  <si>
    <t>W3-11, W3-12; Month 6</t>
  </si>
  <si>
    <t>Two rehearsals for Tier 1; extended hypercare allowance; M6 phase has buffer (W22-26); agreed decision points</t>
  </si>
  <si>
    <t>Defer decommission of last platform; extend hypercare</t>
  </si>
  <si>
    <t>Sev-1 during Wave 3 hypercare; rehearsal rollback &gt; 60 min</t>
  </si>
  <si>
    <t>R-14</t>
  </si>
  <si>
    <t>Performance</t>
  </si>
  <si>
    <t>Latency / throughput regression after migration</t>
  </si>
  <si>
    <t>SLO breach; user complaints</t>
  </si>
  <si>
    <t>All waves</t>
  </si>
  <si>
    <t>Legacy baseline (DS-08); load tests; keep dependent apps in same wave; autoscaling tuned in non-prod</t>
  </si>
  <si>
    <t>Scale up; tune queries; roll back</t>
  </si>
  <si>
    <t>p95 latency &gt; baseline + 20% in test</t>
  </si>
  <si>
    <t>SRE Lead / QA Lead</t>
  </si>
  <si>
    <t>R-15</t>
  </si>
  <si>
    <t>Compliance</t>
  </si>
  <si>
    <t>Regulatory notification / approval delays or audit evidence gaps</t>
  </si>
  <si>
    <t>Go-live blocked; audit findings</t>
  </si>
  <si>
    <t>GATE-PILOT; FN-08</t>
  </si>
  <si>
    <t>PM-05 regulatory plan at kickoff; evidence captured continuously (LZ-10); compliance in SteerCo</t>
  </si>
  <si>
    <t>Escalate to Executive Sponsor / Legal; adjust wave dates</t>
  </si>
  <si>
    <t>No regulator acknowledgement 6 weeks before Pilot 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</si>
</sst>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name val="Calibri"/>
      <family val="2"/>
    </font>
    <font>
      <b/>
      <sz val="18"/>
      <color theme="1"/>
      <name val="Calibri"/>
      <family val="2"/>
    </font>
    <font>
      <b/>
      <sz val="18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0F6B78"/>
      </patternFill>
    </fill>
    <fill>
      <patternFill patternType="solid">
        <fgColor rgb="FF7030A0"/>
      </patternFill>
    </fill>
    <fill>
      <patternFill patternType="solid">
        <fgColor rgb="FF7030A0"/>
      </patternFill>
    </fill>
    <fill>
      <patternFill patternType="solid">
        <fgColor rgb="FF4472C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54823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9" fontId="0" fillId="5" borderId="1" xfId="0" applyNumberFormat="1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164" fontId="0" fillId="5" borderId="8" xfId="0" applyNumberFormat="1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9" fontId="0" fillId="5" borderId="8" xfId="0" applyNumberForma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164" fontId="0" fillId="0" borderId="8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10" fillId="12" borderId="0" xfId="0" applyFont="1" applyFill="1"/>
    <xf numFmtId="0" fontId="10" fillId="19" borderId="1" xfId="0" applyFont="1" applyFill="1" applyBorder="1" applyAlignment="1">
      <alignment vertical="center" wrapText="1"/>
    </xf>
    <xf numFmtId="0" fontId="10" fillId="13" borderId="2" xfId="0" applyFont="1" applyFill="1" applyBorder="1" applyAlignment="1">
      <alignment vertical="center" wrapText="1"/>
    </xf>
    <xf numFmtId="0" fontId="10" fillId="13" borderId="3" xfId="0" applyFont="1" applyFill="1" applyBorder="1" applyAlignment="1">
      <alignment vertical="center" wrapText="1"/>
    </xf>
    <xf numFmtId="0" fontId="10" fillId="13" borderId="4" xfId="0" applyFont="1" applyFill="1" applyBorder="1" applyAlignment="1">
      <alignment vertical="center" wrapText="1"/>
    </xf>
    <xf numFmtId="0" fontId="0" fillId="14" borderId="5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0" fillId="14" borderId="6" xfId="0" applyFill="1" applyBorder="1" applyAlignment="1">
      <alignment vertical="top" wrapText="1"/>
    </xf>
    <xf numFmtId="0" fontId="0" fillId="16" borderId="5" xfId="0" applyFill="1" applyBorder="1" applyAlignment="1">
      <alignment vertical="top" wrapText="1"/>
    </xf>
    <xf numFmtId="0" fontId="0" fillId="16" borderId="1" xfId="0" applyFill="1" applyBorder="1" applyAlignment="1">
      <alignment vertical="top" wrapText="1"/>
    </xf>
    <xf numFmtId="0" fontId="0" fillId="16" borderId="6" xfId="0" applyFill="1" applyBorder="1" applyAlignment="1">
      <alignment vertical="top" wrapText="1"/>
    </xf>
    <xf numFmtId="0" fontId="0" fillId="17" borderId="5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0" fillId="17" borderId="6" xfId="0" applyFill="1" applyBorder="1" applyAlignment="1">
      <alignment vertical="top" wrapText="1"/>
    </xf>
    <xf numFmtId="0" fontId="0" fillId="18" borderId="5" xfId="0" applyFill="1" applyBorder="1" applyAlignment="1">
      <alignment vertical="top" wrapText="1"/>
    </xf>
    <xf numFmtId="0" fontId="0" fillId="18" borderId="1" xfId="0" applyFill="1" applyBorder="1" applyAlignment="1">
      <alignment vertical="top" wrapText="1"/>
    </xf>
    <xf numFmtId="0" fontId="0" fillId="18" borderId="6" xfId="0" applyFill="1" applyBorder="1" applyAlignment="1">
      <alignment vertical="top" wrapText="1"/>
    </xf>
    <xf numFmtId="0" fontId="0" fillId="18" borderId="7" xfId="0" applyFill="1" applyBorder="1" applyAlignment="1">
      <alignment vertical="top" wrapText="1"/>
    </xf>
    <xf numFmtId="0" fontId="0" fillId="18" borderId="8" xfId="0" applyFill="1" applyBorder="1" applyAlignment="1">
      <alignment vertical="top" wrapText="1"/>
    </xf>
    <xf numFmtId="0" fontId="0" fillId="15" borderId="8" xfId="0" applyFill="1" applyBorder="1" applyAlignment="1">
      <alignment vertical="top" wrapText="1"/>
    </xf>
    <xf numFmtId="0" fontId="0" fillId="18" borderId="9" xfId="0" applyFill="1" applyBorder="1" applyAlignment="1">
      <alignment vertical="top" wrapText="1"/>
    </xf>
    <xf numFmtId="0" fontId="0" fillId="0" borderId="0" xfId="0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8" fillId="12" borderId="0" xfId="0" applyFont="1" applyFill="1" applyAlignment="1">
      <alignment vertical="center"/>
    </xf>
    <xf numFmtId="0" fontId="9" fillId="0" borderId="0" xfId="0" applyFont="1"/>
    <xf numFmtId="0" fontId="7" fillId="11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0" xfId="0" applyBorder="1"/>
    <xf numFmtId="0" fontId="0" fillId="0" borderId="5" xfId="0" applyBorder="1"/>
  </cellXfs>
  <cellStyles count="1">
    <cellStyle name="Normal" xfId="0" builtinId="0"/>
  </cellStyles>
  <dxfs count="71"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Planned Application Migration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Dashboard'!$E$3</c:f>
              <c:strCache>
                <c:ptCount val="1"/>
                <c:pt idx="0">
                  <c:v>Apps This Month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Dashboard'!$D$4:$D$9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</c:strCache>
            </c:strRef>
          </c:cat>
          <c:val>
            <c:numRef>
              <c:f>'Executive Dashboard'!$E$4:$E$9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7-4A48-9474-2B42AD61AC29}"/>
            </c:ext>
          </c:extLst>
        </c:ser>
        <c:ser>
          <c:idx val="1"/>
          <c:order val="1"/>
          <c:tx>
            <c:strRef>
              <c:f>'Executive Dashboard'!$F$3</c:f>
              <c:strCache>
                <c:ptCount val="1"/>
                <c:pt idx="0">
                  <c:v>Cumulative Apps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Dashboard'!$D$4:$D$9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</c:strCache>
            </c:strRef>
          </c:cat>
          <c:val>
            <c:numRef>
              <c:f>'Executive Dashboard'!$F$4:$F$9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14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7-4A48-9474-2B42AD61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Applications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cRoadmap" displayName="ExecRoadmap" ref="A4:I10" headerRowDxfId="70" totalsRowDxfId="67" headerRowBorderDxfId="69" tableBorderDxfId="68">
  <autoFilter ref="A4:I10" xr:uid="{00000000-0009-0000-0100-000001000000}"/>
  <tableColumns count="9">
    <tableColumn id="1" xr3:uid="{00000000-0010-0000-0000-000001000000}" name="Month" dataDxfId="66"/>
    <tableColumn id="2" xr3:uid="{00000000-0010-0000-0000-000002000000}" name="Weeks" dataDxfId="65"/>
    <tableColumn id="3" xr3:uid="{00000000-0010-0000-0000-000003000000}" name="Executive Milestone" dataDxfId="64"/>
    <tableColumn id="4" xr3:uid="{00000000-0010-0000-0000-000004000000}" name="Primary Outcomes" dataDxfId="63"/>
    <tableColumn id="5" xr3:uid="{00000000-0010-0000-0000-000005000000}" name="Apps This Month" dataDxfId="62"/>
    <tableColumn id="6" xr3:uid="{00000000-0010-0000-0000-000006000000}" name="Cumulative Apps" dataDxfId="61"/>
    <tableColumn id="7" xr3:uid="{00000000-0010-0000-0000-000007000000}" name="Approval Gate" dataDxfId="60"/>
    <tableColumn id="8" xr3:uid="{00000000-0010-0000-0000-000008000000}" name="Gate Owner" dataDxfId="59"/>
    <tableColumn id="9" xr3:uid="{00000000-0010-0000-0000-000009000000}" name="Planned Status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licationTracker" displayName="ApplicationTracker" ref="A3:O23" headerRowDxfId="57" totalsRowDxfId="54" headerRowBorderDxfId="56" tableBorderDxfId="55">
  <autoFilter ref="A3:O23" xr:uid="{00000000-0009-0000-0100-000002000000}"/>
  <tableColumns count="15">
    <tableColumn id="1" xr3:uid="{00000000-0010-0000-0100-000001000000}" name="App ID" dataDxfId="53"/>
    <tableColumn id="2" xr3:uid="{00000000-0010-0000-0100-000002000000}" name="Application" dataDxfId="52"/>
    <tableColumn id="3" xr3:uid="{00000000-0010-0000-0100-000003000000}" name="Runtime" dataDxfId="51"/>
    <tableColumn id="4" xr3:uid="{00000000-0010-0000-0100-000004000000}" name="Workload Type" dataDxfId="50"/>
    <tableColumn id="5" xr3:uid="{00000000-0010-0000-0100-000005000000}" name="Tier" dataDxfId="49"/>
    <tableColumn id="6" xr3:uid="{00000000-0010-0000-0100-000006000000}" name="Wave" dataDxfId="48"/>
    <tableColumn id="7" xr3:uid="{00000000-0010-0000-0100-000007000000}" name="Disposition" dataDxfId="47"/>
    <tableColumn id="8" xr3:uid="{00000000-0010-0000-0100-000008000000}" name="Source Platform" dataDxfId="46"/>
    <tableColumn id="9" xr3:uid="{00000000-0010-0000-0100-000009000000}" name="DB Size (TB)" dataDxfId="45"/>
    <tableColumn id="10" xr3:uid="{00000000-0010-0000-0100-00000A000000}" name="Shared DB Group" dataDxfId="44"/>
    <tableColumn id="11" xr3:uid="{00000000-0010-0000-0100-00000B000000}" name="Cutover Window" dataDxfId="43"/>
    <tableColumn id="12" xr3:uid="{00000000-0010-0000-0100-00000C000000}" name="Cutover Week" dataDxfId="42"/>
    <tableColumn id="13" xr3:uid="{00000000-0010-0000-0100-00000D000000}" name="Cutover Date" dataDxfId="41"/>
    <tableColumn id="14" xr3:uid="{00000000-0010-0000-0100-00000E000000}" name="Key Dependencies / Notes" dataDxfId="40"/>
    <tableColumn id="15" xr3:uid="{00000000-0010-0000-0100-00000F000000}" name="Current Status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ateCriteriaTable" displayName="GateCriteriaTable" ref="A4:G92" headerRowDxfId="38" totalsRowDxfId="35" headerRowBorderDxfId="37" tableBorderDxfId="36">
  <autoFilter ref="A4:G92" xr:uid="{00000000-0009-0000-0100-000003000000}"/>
  <tableColumns count="7">
    <tableColumn id="1" xr3:uid="{00000000-0010-0000-0200-000001000000}" name="Gate ID" dataDxfId="34"/>
    <tableColumn id="2" xr3:uid="{00000000-0010-0000-0200-000002000000}" name="Exit Criterion" dataDxfId="33"/>
    <tableColumn id="3" xr3:uid="{00000000-0010-0000-0200-000003000000}" name="Owner" dataDxfId="32"/>
    <tableColumn id="4" xr3:uid="{00000000-0010-0000-0200-000004000000}" name="Evidence / Artefact" dataDxfId="31"/>
    <tableColumn id="5" xr3:uid="{00000000-0010-0000-0200-000005000000}" name="Source" dataDxfId="30"/>
    <tableColumn id="6" xr3:uid="{00000000-0010-0000-0200-000006000000}" name="Status" dataDxfId="29"/>
    <tableColumn id="7" xr3:uid="{00000000-0010-0000-0200-000007000000}" name="Comments / Evidence Link" dataDxfId="28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pendencyRegister" displayName="DependencyRegister" ref="A3:P32" headerRowDxfId="27" totalsRowDxfId="24" headerRowBorderDxfId="26" tableBorderDxfId="25">
  <autoFilter ref="A3:P32" xr:uid="{00000000-0009-0000-0100-000004000000}"/>
  <tableColumns count="16">
    <tableColumn id="1" xr3:uid="{00000000-0010-0000-0300-000001000000}" name="ID" dataDxfId="23"/>
    <tableColumn id="2" xr3:uid="{00000000-0010-0000-0300-000002000000}" name="Category" dataDxfId="22"/>
    <tableColumn id="3" xr3:uid="{00000000-0010-0000-0300-000003000000}" name="Dependency" dataDxfId="21"/>
    <tableColumn id="4" xr3:uid="{00000000-0010-0000-0300-000004000000}" name="Provider / Owner" dataDxfId="20"/>
    <tableColumn id="5" xr3:uid="{00000000-0010-0000-0300-000005000000}" name="Blocks Task ID" dataDxfId="19"/>
    <tableColumn id="6" xr3:uid="{00000000-0010-0000-0300-000006000000}" name="Blocked Task" dataDxfId="18"/>
    <tableColumn id="7" xr3:uid="{00000000-0010-0000-0300-000007000000}" name="Needed-by Wk" dataDxfId="17"/>
    <tableColumn id="8" xr3:uid="{00000000-0010-0000-0300-000008000000}" name="Needed-by Date" dataDxfId="16"/>
    <tableColumn id="9" xr3:uid="{00000000-0010-0000-0300-000009000000}" name="Lead Time (wks)" dataDxfId="15"/>
    <tableColumn id="10" xr3:uid="{00000000-0010-0000-0300-00000A000000}" name="Latest Start Wk" dataDxfId="14"/>
    <tableColumn id="11" xr3:uid="{00000000-0010-0000-0300-00000B000000}" name="Latest Start Date" dataDxfId="13"/>
    <tableColumn id="12" xr3:uid="{00000000-0010-0000-0300-00000C000000}" name="Urgency" dataDxfId="12"/>
    <tableColumn id="13" xr3:uid="{00000000-0010-0000-0300-00000D000000}" name="Waves Affected" dataDxfId="11"/>
    <tableColumn id="14" xr3:uid="{00000000-0010-0000-0300-00000E000000}" name="Mitigation / Action" dataDxfId="10"/>
    <tableColumn id="15" xr3:uid="{00000000-0010-0000-0300-00000F000000}" name="Status" dataDxfId="9"/>
    <tableColumn id="16" xr3:uid="{00000000-0010-0000-0300-000010000000}" name="RAG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selection activeCell="D11" sqref="D11"/>
    </sheetView>
  </sheetViews>
  <sheetFormatPr defaultRowHeight="14.5" x14ac:dyDescent="0.35"/>
  <cols>
    <col min="1" max="1" width="28" style="59" customWidth="1"/>
    <col min="2" max="2" width="18" style="59" customWidth="1"/>
    <col min="3" max="3" width="4" style="59" customWidth="1"/>
    <col min="4" max="4" width="12" style="59" customWidth="1"/>
    <col min="5" max="6" width="18" style="59" customWidth="1"/>
    <col min="7" max="8" width="15" style="59" customWidth="1"/>
  </cols>
  <sheetData>
    <row r="1" spans="1:8" ht="30" customHeight="1" x14ac:dyDescent="0.35">
      <c r="A1" s="62" t="s">
        <v>0</v>
      </c>
      <c r="B1" s="63"/>
      <c r="C1" s="63"/>
      <c r="D1" s="63"/>
      <c r="E1" s="63"/>
      <c r="F1" s="63"/>
      <c r="G1" s="63"/>
      <c r="H1" s="63"/>
    </row>
    <row r="2" spans="1:8" x14ac:dyDescent="0.35">
      <c r="A2" s="28"/>
      <c r="B2" s="28"/>
      <c r="C2" s="28"/>
      <c r="D2" s="28"/>
      <c r="E2" s="28"/>
      <c r="F2" s="28"/>
      <c r="G2" s="28"/>
      <c r="H2" s="28"/>
    </row>
    <row r="3" spans="1:8" x14ac:dyDescent="0.35">
      <c r="A3" s="1" t="s">
        <v>1</v>
      </c>
      <c r="B3" s="1" t="s">
        <v>2</v>
      </c>
      <c r="C3" s="1"/>
      <c r="D3" s="1" t="s">
        <v>3</v>
      </c>
      <c r="E3" s="1" t="s">
        <v>4</v>
      </c>
      <c r="F3" s="1" t="s">
        <v>5</v>
      </c>
      <c r="G3" s="1" t="s">
        <v>6</v>
      </c>
      <c r="H3" s="28"/>
    </row>
    <row r="4" spans="1:8" x14ac:dyDescent="0.35">
      <c r="A4" s="60" t="s">
        <v>7</v>
      </c>
      <c r="B4" s="3">
        <v>20</v>
      </c>
      <c r="C4" s="60"/>
      <c r="D4" s="60" t="s">
        <v>8</v>
      </c>
      <c r="E4" s="60">
        <v>0</v>
      </c>
      <c r="F4" s="60">
        <v>0</v>
      </c>
      <c r="G4" s="60" t="s">
        <v>9</v>
      </c>
      <c r="H4" s="28"/>
    </row>
    <row r="5" spans="1:8" x14ac:dyDescent="0.35">
      <c r="A5" s="60" t="s">
        <v>10</v>
      </c>
      <c r="B5" s="3">
        <v>107</v>
      </c>
      <c r="C5" s="60"/>
      <c r="D5" s="60" t="s">
        <v>11</v>
      </c>
      <c r="E5" s="60">
        <v>3</v>
      </c>
      <c r="F5" s="60">
        <v>3</v>
      </c>
      <c r="G5" s="60" t="s">
        <v>9</v>
      </c>
      <c r="H5" s="28"/>
    </row>
    <row r="6" spans="1:8" x14ac:dyDescent="0.35">
      <c r="A6" s="60" t="s">
        <v>12</v>
      </c>
      <c r="B6" s="3">
        <v>26</v>
      </c>
      <c r="C6" s="60"/>
      <c r="D6" s="60" t="s">
        <v>13</v>
      </c>
      <c r="E6" s="60">
        <v>5</v>
      </c>
      <c r="F6" s="60">
        <v>8</v>
      </c>
      <c r="G6" s="60" t="s">
        <v>9</v>
      </c>
      <c r="H6" s="28"/>
    </row>
    <row r="7" spans="1:8" x14ac:dyDescent="0.35">
      <c r="A7" s="60" t="s">
        <v>14</v>
      </c>
      <c r="B7" s="3">
        <v>20</v>
      </c>
      <c r="C7" s="60"/>
      <c r="D7" s="60" t="s">
        <v>15</v>
      </c>
      <c r="E7" s="60">
        <v>6</v>
      </c>
      <c r="F7" s="60">
        <v>14</v>
      </c>
      <c r="G7" s="60" t="s">
        <v>16</v>
      </c>
      <c r="H7" s="28"/>
    </row>
    <row r="8" spans="1:8" x14ac:dyDescent="0.35">
      <c r="A8" s="60" t="s">
        <v>17</v>
      </c>
      <c r="B8" s="60" t="s">
        <v>18</v>
      </c>
      <c r="C8" s="60"/>
      <c r="D8" s="60" t="s">
        <v>19</v>
      </c>
      <c r="E8" s="60">
        <v>6</v>
      </c>
      <c r="F8" s="60">
        <v>20</v>
      </c>
      <c r="G8" s="60" t="s">
        <v>16</v>
      </c>
      <c r="H8" s="28"/>
    </row>
    <row r="9" spans="1:8" x14ac:dyDescent="0.35">
      <c r="A9" s="60" t="s">
        <v>20</v>
      </c>
      <c r="B9" s="60" t="s">
        <v>21</v>
      </c>
      <c r="C9" s="60"/>
      <c r="D9" s="60" t="s">
        <v>22</v>
      </c>
      <c r="E9" s="60">
        <v>0</v>
      </c>
      <c r="F9" s="60">
        <v>20</v>
      </c>
      <c r="G9" s="60" t="s">
        <v>9</v>
      </c>
      <c r="H9" s="28"/>
    </row>
    <row r="10" spans="1:8" x14ac:dyDescent="0.35">
      <c r="A10" s="60" t="s">
        <v>23</v>
      </c>
      <c r="B10" s="60" t="s">
        <v>24</v>
      </c>
      <c r="C10" s="60"/>
      <c r="D10" s="60" t="s">
        <v>22</v>
      </c>
      <c r="E10" s="60">
        <v>0</v>
      </c>
      <c r="F10" s="60">
        <v>20</v>
      </c>
      <c r="G10" s="60" t="s">
        <v>9</v>
      </c>
      <c r="H10" s="28"/>
    </row>
    <row r="11" spans="1:8" x14ac:dyDescent="0.35">
      <c r="A11" s="60" t="s">
        <v>25</v>
      </c>
      <c r="B11" s="3">
        <v>2</v>
      </c>
      <c r="C11" s="60"/>
      <c r="D11" s="60" t="s">
        <v>22</v>
      </c>
      <c r="E11" s="60">
        <v>0</v>
      </c>
      <c r="F11" s="60">
        <v>20</v>
      </c>
      <c r="G11" s="60" t="s">
        <v>9</v>
      </c>
      <c r="H11" s="28"/>
    </row>
    <row r="12" spans="1:8" x14ac:dyDescent="0.35">
      <c r="A12" s="28"/>
      <c r="B12" s="28"/>
      <c r="C12" s="28"/>
      <c r="D12" s="28"/>
      <c r="E12" s="28"/>
      <c r="F12" s="28"/>
      <c r="G12" s="28"/>
      <c r="H12" s="28"/>
    </row>
    <row r="13" spans="1:8" x14ac:dyDescent="0.35">
      <c r="A13" s="28"/>
      <c r="B13" s="28"/>
      <c r="C13" s="28"/>
      <c r="D13" s="28"/>
      <c r="E13" s="28"/>
      <c r="F13" s="28"/>
      <c r="G13" s="28"/>
      <c r="H13" s="28"/>
    </row>
    <row r="14" spans="1:8" x14ac:dyDescent="0.35">
      <c r="A14" s="29" t="s">
        <v>26</v>
      </c>
      <c r="B14" s="29" t="s">
        <v>27</v>
      </c>
      <c r="C14" s="28"/>
      <c r="D14" s="28"/>
      <c r="E14" s="28"/>
      <c r="F14" s="28"/>
      <c r="G14" s="28"/>
      <c r="H14" s="28"/>
    </row>
    <row r="15" spans="1:8" x14ac:dyDescent="0.35">
      <c r="A15" s="60" t="s">
        <v>28</v>
      </c>
      <c r="B15" s="60">
        <f>COUNTIF('Detailed Monthly Tracker'!P:P,"Yes")</f>
        <v>43</v>
      </c>
      <c r="C15" s="28"/>
      <c r="D15" s="28"/>
      <c r="E15" s="28"/>
      <c r="F15" s="28"/>
      <c r="G15" s="28"/>
      <c r="H15" s="28"/>
    </row>
    <row r="16" spans="1:8" x14ac:dyDescent="0.35">
      <c r="A16" s="60" t="s">
        <v>29</v>
      </c>
      <c r="B16" s="60">
        <f>COUNTIF('Detailed Monthly Tracker'!R:R,"Complete")</f>
        <v>0</v>
      </c>
      <c r="C16" s="28"/>
      <c r="D16" s="28"/>
      <c r="E16" s="28"/>
      <c r="F16" s="28"/>
      <c r="G16" s="28"/>
      <c r="H16" s="28"/>
    </row>
    <row r="17" spans="1:8" x14ac:dyDescent="0.35">
      <c r="A17" s="60" t="s">
        <v>30</v>
      </c>
      <c r="B17" s="60">
        <f>COUNTIF('Detailed Monthly Tracker'!R:R,"In Progress")</f>
        <v>0</v>
      </c>
      <c r="C17" s="28"/>
      <c r="D17" s="28"/>
      <c r="E17" s="28"/>
      <c r="F17" s="28"/>
      <c r="G17" s="28"/>
      <c r="H17" s="28"/>
    </row>
    <row r="18" spans="1:8" x14ac:dyDescent="0.35">
      <c r="A18" s="60" t="s">
        <v>31</v>
      </c>
      <c r="B18" s="60">
        <f>COUNTIF('Detailed Monthly Tracker'!R:R,"Blocked")</f>
        <v>0</v>
      </c>
      <c r="C18" s="28"/>
      <c r="D18" s="28"/>
      <c r="E18" s="28"/>
      <c r="F18" s="28"/>
      <c r="G18" s="28"/>
      <c r="H18" s="28"/>
    </row>
    <row r="19" spans="1:8" x14ac:dyDescent="0.35">
      <c r="A19" s="60" t="s">
        <v>32</v>
      </c>
      <c r="B19" s="60">
        <f>COUNTIF('Detailed Monthly Tracker'!V:V,"Amber")+COUNTIF('Detailed Monthly Tracker'!V:V,"Red")</f>
        <v>0</v>
      </c>
      <c r="C19" s="28"/>
      <c r="D19" s="28"/>
      <c r="E19" s="28"/>
      <c r="F19" s="28"/>
      <c r="G19" s="28"/>
      <c r="H19" s="28"/>
    </row>
    <row r="20" spans="1:8" x14ac:dyDescent="0.35">
      <c r="A20" s="60" t="s">
        <v>33</v>
      </c>
      <c r="B20" s="60">
        <f>COUNTIF('Application Tracker'!O:O,"Complete")</f>
        <v>0</v>
      </c>
      <c r="C20" s="28"/>
      <c r="D20" s="28"/>
      <c r="E20" s="28"/>
      <c r="F20" s="28"/>
      <c r="G20" s="28"/>
      <c r="H20" s="28"/>
    </row>
    <row r="21" spans="1:8" x14ac:dyDescent="0.35">
      <c r="A21" s="60" t="s">
        <v>34</v>
      </c>
      <c r="B21" s="60">
        <f>COUNTIF('Application Tracker'!O:O,"Ready for Cutover")</f>
        <v>0</v>
      </c>
      <c r="C21" s="28"/>
      <c r="D21" s="28"/>
      <c r="E21" s="28"/>
      <c r="F21" s="28"/>
      <c r="G21" s="28"/>
      <c r="H21" s="28"/>
    </row>
    <row r="22" spans="1:8" x14ac:dyDescent="0.35">
      <c r="A22" s="60" t="s">
        <v>35</v>
      </c>
      <c r="B22" s="60">
        <f>COUNTIF('Critical Dependencies'!P:P,"Red")</f>
        <v>5</v>
      </c>
      <c r="C22" s="28"/>
      <c r="D22" s="28"/>
      <c r="E22" s="28"/>
      <c r="F22" s="28"/>
      <c r="G22" s="28"/>
      <c r="H22" s="28"/>
    </row>
    <row r="23" spans="1:8" x14ac:dyDescent="0.35">
      <c r="A23" s="60" t="s">
        <v>36</v>
      </c>
      <c r="B23" s="60">
        <f>COUNTIF('RAID Register'!G:G,"Red")</f>
        <v>8</v>
      </c>
      <c r="C23" s="28"/>
      <c r="D23" s="28"/>
      <c r="E23" s="28"/>
      <c r="F23" s="28"/>
      <c r="G23" s="28"/>
      <c r="H23" s="28"/>
    </row>
    <row r="24" spans="1:8" x14ac:dyDescent="0.35">
      <c r="A24" s="60" t="s">
        <v>37</v>
      </c>
      <c r="B24" s="60">
        <f>COUNTIF('Gate Readiness'!I4:I15,"Green")</f>
        <v>0</v>
      </c>
      <c r="C24" s="28"/>
      <c r="D24" s="28"/>
      <c r="E24" s="28"/>
      <c r="F24" s="28"/>
      <c r="G24" s="28"/>
      <c r="H24" s="28"/>
    </row>
    <row r="25" spans="1:8" x14ac:dyDescent="0.35">
      <c r="A25" s="28"/>
      <c r="B25" s="28"/>
      <c r="C25" s="28"/>
      <c r="D25" s="28"/>
      <c r="E25" s="28"/>
      <c r="F25" s="28"/>
      <c r="G25" s="28"/>
      <c r="H25" s="28"/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showGridLines="0" workbookViewId="0">
      <pane ySplit="4" topLeftCell="A5" activePane="bottomLeft" state="frozen"/>
      <selection pane="bottomLeft" activeCell="E10" sqref="E10"/>
    </sheetView>
  </sheetViews>
  <sheetFormatPr defaultRowHeight="14.5" x14ac:dyDescent="0.35"/>
  <cols>
    <col min="1" max="1" width="10" style="59" customWidth="1"/>
    <col min="2" max="2" width="12" style="59" customWidth="1"/>
    <col min="3" max="3" width="24" style="59" customWidth="1"/>
    <col min="4" max="4" width="70" style="59" customWidth="1"/>
    <col min="5" max="5" width="16" style="59" customWidth="1"/>
    <col min="6" max="6" width="17" style="59" customWidth="1"/>
    <col min="7" max="7" width="18" style="59" customWidth="1"/>
    <col min="8" max="8" width="25.26953125" style="59" customWidth="1"/>
    <col min="9" max="9" width="9.54296875" style="59" customWidth="1"/>
  </cols>
  <sheetData>
    <row r="1" spans="1:9" ht="30" customHeight="1" x14ac:dyDescent="0.35">
      <c r="A1" s="62" t="s">
        <v>38</v>
      </c>
      <c r="B1" s="63"/>
      <c r="C1" s="63"/>
      <c r="D1" s="63"/>
      <c r="E1" s="63"/>
      <c r="F1" s="63"/>
      <c r="G1" s="63"/>
      <c r="H1" s="63"/>
      <c r="I1" s="63"/>
    </row>
    <row r="2" spans="1:9" x14ac:dyDescent="0.35">
      <c r="A2" s="64" t="s">
        <v>39</v>
      </c>
      <c r="B2" s="63"/>
      <c r="C2" s="63"/>
      <c r="D2" s="63"/>
      <c r="E2" s="63"/>
      <c r="F2" s="63"/>
      <c r="G2" s="63"/>
      <c r="H2" s="63"/>
      <c r="I2" s="63"/>
    </row>
    <row r="3" spans="1:9" x14ac:dyDescent="0.35">
      <c r="A3" s="28"/>
      <c r="B3" s="28"/>
      <c r="C3" s="28"/>
      <c r="D3" s="28"/>
      <c r="E3" s="28"/>
      <c r="F3" s="28"/>
      <c r="G3" s="28"/>
      <c r="H3" s="28"/>
      <c r="I3" s="28"/>
    </row>
    <row r="4" spans="1:9" ht="29" customHeight="1" x14ac:dyDescent="0.35">
      <c r="A4" s="4" t="s">
        <v>3</v>
      </c>
      <c r="B4" s="5" t="s">
        <v>40</v>
      </c>
      <c r="C4" s="5" t="s">
        <v>41</v>
      </c>
      <c r="D4" s="5" t="s">
        <v>42</v>
      </c>
      <c r="E4" s="5" t="s">
        <v>4</v>
      </c>
      <c r="F4" s="5" t="s">
        <v>5</v>
      </c>
      <c r="G4" s="5" t="s">
        <v>43</v>
      </c>
      <c r="H4" s="5" t="s">
        <v>44</v>
      </c>
      <c r="I4" s="6" t="s">
        <v>6</v>
      </c>
    </row>
    <row r="5" spans="1:9" ht="29" customHeight="1" x14ac:dyDescent="0.35">
      <c r="A5" s="7" t="s">
        <v>8</v>
      </c>
      <c r="B5" s="60" t="s">
        <v>45</v>
      </c>
      <c r="C5" s="60" t="s">
        <v>46</v>
      </c>
      <c r="D5" s="60" t="s">
        <v>47</v>
      </c>
      <c r="E5" s="60">
        <v>0</v>
      </c>
      <c r="F5" s="60">
        <v>0</v>
      </c>
      <c r="G5" s="60" t="s">
        <v>48</v>
      </c>
      <c r="H5" s="60" t="s">
        <v>49</v>
      </c>
      <c r="I5" s="8" t="s">
        <v>9</v>
      </c>
    </row>
    <row r="6" spans="1:9" ht="29" customHeight="1" x14ac:dyDescent="0.35">
      <c r="A6" s="7" t="s">
        <v>11</v>
      </c>
      <c r="B6" s="60" t="s">
        <v>50</v>
      </c>
      <c r="C6" s="60" t="s">
        <v>51</v>
      </c>
      <c r="D6" s="60" t="s">
        <v>52</v>
      </c>
      <c r="E6" s="60">
        <v>3</v>
      </c>
      <c r="F6" s="60">
        <v>3</v>
      </c>
      <c r="G6" s="60" t="s">
        <v>53</v>
      </c>
      <c r="H6" s="60" t="s">
        <v>54</v>
      </c>
      <c r="I6" s="8" t="s">
        <v>9</v>
      </c>
    </row>
    <row r="7" spans="1:9" x14ac:dyDescent="0.35">
      <c r="A7" s="7" t="s">
        <v>13</v>
      </c>
      <c r="B7" s="60" t="s">
        <v>55</v>
      </c>
      <c r="C7" s="60" t="s">
        <v>56</v>
      </c>
      <c r="D7" s="60" t="s">
        <v>57</v>
      </c>
      <c r="E7" s="60">
        <v>5</v>
      </c>
      <c r="F7" s="60">
        <v>8</v>
      </c>
      <c r="G7" s="60" t="s">
        <v>58</v>
      </c>
      <c r="H7" s="60" t="s">
        <v>54</v>
      </c>
      <c r="I7" s="8" t="s">
        <v>9</v>
      </c>
    </row>
    <row r="8" spans="1:9" ht="29" customHeight="1" x14ac:dyDescent="0.35">
      <c r="A8" s="7" t="s">
        <v>15</v>
      </c>
      <c r="B8" s="60" t="s">
        <v>59</v>
      </c>
      <c r="C8" s="60" t="s">
        <v>60</v>
      </c>
      <c r="D8" s="60" t="s">
        <v>61</v>
      </c>
      <c r="E8" s="60">
        <v>6</v>
      </c>
      <c r="F8" s="60">
        <v>14</v>
      </c>
      <c r="G8" s="60" t="s">
        <v>62</v>
      </c>
      <c r="H8" s="60" t="s">
        <v>54</v>
      </c>
      <c r="I8" s="8" t="s">
        <v>16</v>
      </c>
    </row>
    <row r="9" spans="1:9" ht="29" customHeight="1" x14ac:dyDescent="0.35">
      <c r="A9" s="7" t="s">
        <v>19</v>
      </c>
      <c r="B9" s="60" t="s">
        <v>63</v>
      </c>
      <c r="C9" s="60" t="s">
        <v>64</v>
      </c>
      <c r="D9" s="60" t="s">
        <v>65</v>
      </c>
      <c r="E9" s="60">
        <v>6</v>
      </c>
      <c r="F9" s="60">
        <v>20</v>
      </c>
      <c r="G9" s="60" t="s">
        <v>66</v>
      </c>
      <c r="H9" s="60" t="s">
        <v>54</v>
      </c>
      <c r="I9" s="8" t="s">
        <v>16</v>
      </c>
    </row>
    <row r="10" spans="1:9" ht="29" customHeight="1" x14ac:dyDescent="0.35">
      <c r="A10" s="9" t="s">
        <v>22</v>
      </c>
      <c r="B10" s="10" t="s">
        <v>67</v>
      </c>
      <c r="C10" s="10" t="s">
        <v>68</v>
      </c>
      <c r="D10" s="10" t="s">
        <v>69</v>
      </c>
      <c r="E10" s="10">
        <v>0</v>
      </c>
      <c r="F10" s="10">
        <v>20</v>
      </c>
      <c r="G10" s="10" t="s">
        <v>70</v>
      </c>
      <c r="H10" s="10" t="s">
        <v>71</v>
      </c>
      <c r="I10" s="11" t="s">
        <v>9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0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W110" sqref="W110"/>
    </sheetView>
  </sheetViews>
  <sheetFormatPr defaultRowHeight="14.5" x14ac:dyDescent="0.35"/>
  <cols>
    <col min="1" max="1" width="9" style="59" customWidth="1"/>
    <col min="2" max="2" width="38" style="59" customWidth="1"/>
    <col min="3" max="3" width="15" style="59" customWidth="1"/>
    <col min="4" max="4" width="24" style="59" customWidth="1"/>
    <col min="5" max="5" width="65" style="59" customWidth="1"/>
    <col min="6" max="6" width="24" style="59" customWidth="1"/>
    <col min="7" max="7" width="12" style="59" customWidth="1"/>
    <col min="8" max="10" width="10" style="59" customWidth="1"/>
    <col min="11" max="12" width="14" style="59" customWidth="1"/>
    <col min="13" max="13" width="24" style="59" customWidth="1"/>
    <col min="14" max="14" width="16" style="59" customWidth="1"/>
    <col min="15" max="15" width="10" style="59" customWidth="1"/>
    <col min="16" max="16" width="12" style="59" customWidth="1"/>
    <col min="17" max="17" width="16" style="59" customWidth="1"/>
    <col min="18" max="18" width="15" style="59" customWidth="1"/>
    <col min="19" max="19" width="55" style="59" customWidth="1"/>
    <col min="20" max="20" width="12" style="59" customWidth="1"/>
    <col min="21" max="21" width="45" style="59" customWidth="1"/>
    <col min="22" max="22" width="12" style="59" customWidth="1"/>
    <col min="23" max="23" width="14" style="59" customWidth="1"/>
    <col min="24" max="24" width="15" style="59" customWidth="1"/>
    <col min="25" max="25" width="14" style="59" customWidth="1"/>
    <col min="26" max="26" width="20" style="59" customWidth="1"/>
    <col min="27" max="27" width="45" style="59" customWidth="1"/>
  </cols>
  <sheetData>
    <row r="1" spans="1:27" ht="30" customHeight="1" x14ac:dyDescent="0.35">
      <c r="A1" s="62" t="s">
        <v>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28"/>
      <c r="W1" s="28"/>
      <c r="X1" s="28"/>
      <c r="Y1" s="28"/>
      <c r="Z1" s="28"/>
      <c r="AA1" s="28"/>
    </row>
    <row r="2" spans="1:27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29" customHeight="1" x14ac:dyDescent="0.35">
      <c r="A3" s="4" t="s">
        <v>3</v>
      </c>
      <c r="B3" s="5" t="s">
        <v>73</v>
      </c>
      <c r="C3" s="5" t="s">
        <v>74</v>
      </c>
      <c r="D3" s="5" t="s">
        <v>75</v>
      </c>
      <c r="E3" s="5" t="s">
        <v>76</v>
      </c>
      <c r="F3" s="5" t="s">
        <v>77</v>
      </c>
      <c r="G3" s="5" t="s">
        <v>78</v>
      </c>
      <c r="H3" s="5" t="s">
        <v>79</v>
      </c>
      <c r="I3" s="5" t="s">
        <v>80</v>
      </c>
      <c r="J3" s="5" t="s">
        <v>81</v>
      </c>
      <c r="K3" s="5" t="s">
        <v>82</v>
      </c>
      <c r="L3" s="5" t="s">
        <v>83</v>
      </c>
      <c r="M3" s="5" t="s">
        <v>84</v>
      </c>
      <c r="N3" s="5" t="s">
        <v>85</v>
      </c>
      <c r="O3" s="5" t="s">
        <v>86</v>
      </c>
      <c r="P3" s="5" t="s">
        <v>87</v>
      </c>
      <c r="Q3" s="5" t="s">
        <v>88</v>
      </c>
      <c r="R3" s="5" t="s">
        <v>89</v>
      </c>
      <c r="S3" s="5" t="s">
        <v>90</v>
      </c>
      <c r="T3" s="5" t="s">
        <v>91</v>
      </c>
      <c r="U3" s="31" t="s">
        <v>92</v>
      </c>
      <c r="V3" s="32" t="s">
        <v>93</v>
      </c>
      <c r="W3" s="32" t="s">
        <v>94</v>
      </c>
      <c r="X3" s="32" t="s">
        <v>95</v>
      </c>
      <c r="Y3" s="32" t="s">
        <v>96</v>
      </c>
      <c r="Z3" s="32" t="s">
        <v>97</v>
      </c>
      <c r="AA3" s="32" t="s">
        <v>98</v>
      </c>
    </row>
    <row r="4" spans="1:27" x14ac:dyDescent="0.35">
      <c r="A4" s="7" t="s">
        <v>8</v>
      </c>
      <c r="B4" s="60" t="s">
        <v>99</v>
      </c>
      <c r="C4" s="60" t="s">
        <v>100</v>
      </c>
      <c r="D4" s="60" t="s">
        <v>101</v>
      </c>
      <c r="E4" s="60" t="s">
        <v>102</v>
      </c>
      <c r="F4" s="60" t="s">
        <v>103</v>
      </c>
      <c r="G4" s="60" t="s">
        <v>104</v>
      </c>
      <c r="H4" s="60">
        <v>1</v>
      </c>
      <c r="I4" s="60">
        <v>1</v>
      </c>
      <c r="J4" s="60">
        <v>1</v>
      </c>
      <c r="K4" s="12">
        <v>46307</v>
      </c>
      <c r="L4" s="12">
        <v>46311</v>
      </c>
      <c r="M4" s="60"/>
      <c r="N4" s="60"/>
      <c r="O4" s="60"/>
      <c r="P4" s="60" t="s">
        <v>105</v>
      </c>
      <c r="Q4" s="60"/>
      <c r="R4" s="60" t="s">
        <v>106</v>
      </c>
      <c r="S4" s="60" t="s">
        <v>107</v>
      </c>
      <c r="T4" s="13">
        <v>0</v>
      </c>
      <c r="U4" s="60"/>
      <c r="V4" s="33" t="s">
        <v>108</v>
      </c>
      <c r="W4" s="34"/>
      <c r="X4" s="34"/>
      <c r="Y4" s="34"/>
      <c r="Z4" s="34"/>
      <c r="AA4" s="34"/>
    </row>
    <row r="5" spans="1:27" x14ac:dyDescent="0.35">
      <c r="A5" s="7" t="s">
        <v>8</v>
      </c>
      <c r="B5" s="60" t="s">
        <v>99</v>
      </c>
      <c r="C5" s="60" t="s">
        <v>109</v>
      </c>
      <c r="D5" s="60" t="s">
        <v>101</v>
      </c>
      <c r="E5" s="60" t="s">
        <v>110</v>
      </c>
      <c r="F5" s="60" t="s">
        <v>103</v>
      </c>
      <c r="G5" s="60" t="s">
        <v>104</v>
      </c>
      <c r="H5" s="60">
        <v>1</v>
      </c>
      <c r="I5" s="60">
        <v>2</v>
      </c>
      <c r="J5" s="60">
        <v>2</v>
      </c>
      <c r="K5" s="12">
        <v>46307</v>
      </c>
      <c r="L5" s="12">
        <v>46318</v>
      </c>
      <c r="M5" s="60" t="s">
        <v>100</v>
      </c>
      <c r="N5" s="60" t="s">
        <v>100</v>
      </c>
      <c r="O5" s="60" t="s">
        <v>111</v>
      </c>
      <c r="P5" s="60" t="s">
        <v>105</v>
      </c>
      <c r="Q5" s="60"/>
      <c r="R5" s="60" t="s">
        <v>106</v>
      </c>
      <c r="S5" s="60" t="s">
        <v>112</v>
      </c>
      <c r="T5" s="13">
        <v>0</v>
      </c>
      <c r="U5" s="60"/>
      <c r="V5" s="60" t="s">
        <v>108</v>
      </c>
      <c r="W5" s="12"/>
      <c r="X5" s="12"/>
      <c r="Y5" s="12"/>
      <c r="Z5" s="35" t="str">
        <f t="shared" ref="Z5:Z36" si="0">IF(Y5&lt;&gt;"",Y5-L5,IF(X5&lt;&gt;"",X5-L5,""))</f>
        <v/>
      </c>
      <c r="AA5" s="60"/>
    </row>
    <row r="6" spans="1:27" x14ac:dyDescent="0.35">
      <c r="A6" s="7" t="s">
        <v>8</v>
      </c>
      <c r="B6" s="60" t="s">
        <v>99</v>
      </c>
      <c r="C6" s="60" t="s">
        <v>113</v>
      </c>
      <c r="D6" s="60" t="s">
        <v>101</v>
      </c>
      <c r="E6" s="60" t="s">
        <v>114</v>
      </c>
      <c r="F6" s="60" t="s">
        <v>103</v>
      </c>
      <c r="G6" s="60" t="s">
        <v>104</v>
      </c>
      <c r="H6" s="60">
        <v>1</v>
      </c>
      <c r="I6" s="60">
        <v>2</v>
      </c>
      <c r="J6" s="60">
        <v>2</v>
      </c>
      <c r="K6" s="12">
        <v>46307</v>
      </c>
      <c r="L6" s="12">
        <v>46318</v>
      </c>
      <c r="M6" s="60" t="s">
        <v>100</v>
      </c>
      <c r="N6" s="60" t="s">
        <v>100</v>
      </c>
      <c r="O6" s="60" t="s">
        <v>111</v>
      </c>
      <c r="P6" s="60" t="s">
        <v>105</v>
      </c>
      <c r="Q6" s="60"/>
      <c r="R6" s="60" t="s">
        <v>106</v>
      </c>
      <c r="S6" s="60" t="s">
        <v>115</v>
      </c>
      <c r="T6" s="13">
        <v>0</v>
      </c>
      <c r="U6" s="60"/>
      <c r="V6" s="60" t="s">
        <v>108</v>
      </c>
      <c r="W6" s="12"/>
      <c r="X6" s="12"/>
      <c r="Y6" s="12"/>
      <c r="Z6" s="35" t="str">
        <f t="shared" si="0"/>
        <v/>
      </c>
      <c r="AA6" s="60"/>
    </row>
    <row r="7" spans="1:27" x14ac:dyDescent="0.35">
      <c r="A7" s="7" t="s">
        <v>8</v>
      </c>
      <c r="B7" s="60" t="s">
        <v>99</v>
      </c>
      <c r="C7" s="60" t="s">
        <v>116</v>
      </c>
      <c r="D7" s="60" t="s">
        <v>101</v>
      </c>
      <c r="E7" s="60" t="s">
        <v>117</v>
      </c>
      <c r="F7" s="60" t="s">
        <v>118</v>
      </c>
      <c r="G7" s="60" t="s">
        <v>104</v>
      </c>
      <c r="H7" s="60">
        <v>1</v>
      </c>
      <c r="I7" s="60">
        <v>2</v>
      </c>
      <c r="J7" s="60">
        <v>2</v>
      </c>
      <c r="K7" s="12">
        <v>46307</v>
      </c>
      <c r="L7" s="12">
        <v>46318</v>
      </c>
      <c r="M7" s="60" t="s">
        <v>100</v>
      </c>
      <c r="N7" s="60" t="s">
        <v>100</v>
      </c>
      <c r="O7" s="60" t="s">
        <v>111</v>
      </c>
      <c r="P7" s="60" t="s">
        <v>105</v>
      </c>
      <c r="Q7" s="60"/>
      <c r="R7" s="60" t="s">
        <v>106</v>
      </c>
      <c r="S7" s="60" t="s">
        <v>119</v>
      </c>
      <c r="T7" s="13">
        <v>0</v>
      </c>
      <c r="U7" s="60"/>
      <c r="V7" s="60" t="s">
        <v>108</v>
      </c>
      <c r="W7" s="12"/>
      <c r="X7" s="12"/>
      <c r="Y7" s="12"/>
      <c r="Z7" s="35" t="str">
        <f t="shared" si="0"/>
        <v/>
      </c>
      <c r="AA7" s="60"/>
    </row>
    <row r="8" spans="1:27" x14ac:dyDescent="0.35">
      <c r="A8" s="7" t="s">
        <v>8</v>
      </c>
      <c r="B8" s="60" t="s">
        <v>99</v>
      </c>
      <c r="C8" s="60" t="s">
        <v>120</v>
      </c>
      <c r="D8" s="60" t="s">
        <v>101</v>
      </c>
      <c r="E8" s="60" t="s">
        <v>121</v>
      </c>
      <c r="F8" s="60" t="s">
        <v>122</v>
      </c>
      <c r="G8" s="60" t="s">
        <v>104</v>
      </c>
      <c r="H8" s="60">
        <v>2</v>
      </c>
      <c r="I8" s="60">
        <v>3</v>
      </c>
      <c r="J8" s="60">
        <v>4</v>
      </c>
      <c r="K8" s="12">
        <v>46314</v>
      </c>
      <c r="L8" s="12">
        <v>46332</v>
      </c>
      <c r="M8" s="60" t="s">
        <v>100</v>
      </c>
      <c r="N8" s="60" t="s">
        <v>100</v>
      </c>
      <c r="O8" s="60" t="s">
        <v>111</v>
      </c>
      <c r="P8" s="60" t="s">
        <v>105</v>
      </c>
      <c r="Q8" s="60"/>
      <c r="R8" s="60" t="s">
        <v>106</v>
      </c>
      <c r="S8" s="60" t="s">
        <v>123</v>
      </c>
      <c r="T8" s="13">
        <v>0</v>
      </c>
      <c r="U8" s="60"/>
      <c r="V8" s="60" t="s">
        <v>108</v>
      </c>
      <c r="W8" s="12"/>
      <c r="X8" s="12"/>
      <c r="Y8" s="12"/>
      <c r="Z8" s="35" t="str">
        <f t="shared" si="0"/>
        <v/>
      </c>
      <c r="AA8" s="60"/>
    </row>
    <row r="9" spans="1:27" x14ac:dyDescent="0.35">
      <c r="A9" s="7" t="s">
        <v>124</v>
      </c>
      <c r="B9" s="60" t="s">
        <v>99</v>
      </c>
      <c r="C9" s="60" t="s">
        <v>125</v>
      </c>
      <c r="D9" s="60" t="s">
        <v>101</v>
      </c>
      <c r="E9" s="60" t="s">
        <v>126</v>
      </c>
      <c r="F9" s="60" t="s">
        <v>103</v>
      </c>
      <c r="G9" s="60" t="s">
        <v>104</v>
      </c>
      <c r="H9" s="60">
        <v>2</v>
      </c>
      <c r="I9" s="60">
        <v>25</v>
      </c>
      <c r="J9" s="60">
        <v>26</v>
      </c>
      <c r="K9" s="12">
        <v>46314</v>
      </c>
      <c r="L9" s="12">
        <v>46486</v>
      </c>
      <c r="M9" s="60" t="s">
        <v>109</v>
      </c>
      <c r="N9" s="60" t="s">
        <v>109</v>
      </c>
      <c r="O9" s="60" t="s">
        <v>111</v>
      </c>
      <c r="P9" s="60" t="s">
        <v>105</v>
      </c>
      <c r="Q9" s="60"/>
      <c r="R9" s="60" t="s">
        <v>106</v>
      </c>
      <c r="S9" s="60" t="s">
        <v>127</v>
      </c>
      <c r="T9" s="13">
        <v>0</v>
      </c>
      <c r="U9" s="60"/>
      <c r="V9" s="60" t="s">
        <v>108</v>
      </c>
      <c r="W9" s="12"/>
      <c r="X9" s="12"/>
      <c r="Y9" s="12"/>
      <c r="Z9" s="35" t="str">
        <f t="shared" si="0"/>
        <v/>
      </c>
      <c r="AA9" s="60"/>
    </row>
    <row r="10" spans="1:27" x14ac:dyDescent="0.35">
      <c r="A10" s="7" t="s">
        <v>124</v>
      </c>
      <c r="B10" s="60" t="s">
        <v>99</v>
      </c>
      <c r="C10" s="60" t="s">
        <v>128</v>
      </c>
      <c r="D10" s="60" t="s">
        <v>101</v>
      </c>
      <c r="E10" s="60" t="s">
        <v>129</v>
      </c>
      <c r="F10" s="60" t="s">
        <v>130</v>
      </c>
      <c r="G10" s="60" t="s">
        <v>104</v>
      </c>
      <c r="H10" s="60">
        <v>4</v>
      </c>
      <c r="I10" s="60">
        <v>23</v>
      </c>
      <c r="J10" s="60">
        <v>26</v>
      </c>
      <c r="K10" s="12">
        <v>46328</v>
      </c>
      <c r="L10" s="12">
        <v>46486</v>
      </c>
      <c r="M10" s="60" t="s">
        <v>109</v>
      </c>
      <c r="N10" s="60" t="s">
        <v>109</v>
      </c>
      <c r="O10" s="60" t="s">
        <v>111</v>
      </c>
      <c r="P10" s="60" t="s">
        <v>105</v>
      </c>
      <c r="Q10" s="60"/>
      <c r="R10" s="60" t="s">
        <v>106</v>
      </c>
      <c r="S10" s="60" t="s">
        <v>131</v>
      </c>
      <c r="T10" s="13">
        <v>0</v>
      </c>
      <c r="U10" s="60"/>
      <c r="V10" s="60" t="s">
        <v>108</v>
      </c>
      <c r="W10" s="12"/>
      <c r="X10" s="12"/>
      <c r="Y10" s="12"/>
      <c r="Z10" s="35" t="str">
        <f t="shared" si="0"/>
        <v/>
      </c>
      <c r="AA10" s="60"/>
    </row>
    <row r="11" spans="1:27" x14ac:dyDescent="0.35">
      <c r="A11" s="7" t="s">
        <v>124</v>
      </c>
      <c r="B11" s="60" t="s">
        <v>99</v>
      </c>
      <c r="C11" s="60" t="s">
        <v>132</v>
      </c>
      <c r="D11" s="60" t="s">
        <v>133</v>
      </c>
      <c r="E11" s="60" t="s">
        <v>134</v>
      </c>
      <c r="F11" s="60" t="s">
        <v>135</v>
      </c>
      <c r="G11" s="60" t="s">
        <v>104</v>
      </c>
      <c r="H11" s="60">
        <v>3</v>
      </c>
      <c r="I11" s="60">
        <v>22</v>
      </c>
      <c r="J11" s="60">
        <v>24</v>
      </c>
      <c r="K11" s="12">
        <v>46321</v>
      </c>
      <c r="L11" s="12">
        <v>46472</v>
      </c>
      <c r="M11" s="60" t="s">
        <v>113</v>
      </c>
      <c r="N11" s="60" t="s">
        <v>113</v>
      </c>
      <c r="O11" s="60" t="s">
        <v>111</v>
      </c>
      <c r="P11" s="60" t="s">
        <v>105</v>
      </c>
      <c r="Q11" s="60"/>
      <c r="R11" s="60" t="s">
        <v>106</v>
      </c>
      <c r="S11" s="60" t="s">
        <v>136</v>
      </c>
      <c r="T11" s="13">
        <v>0</v>
      </c>
      <c r="U11" s="60"/>
      <c r="V11" s="60" t="s">
        <v>108</v>
      </c>
      <c r="W11" s="12"/>
      <c r="X11" s="12"/>
      <c r="Y11" s="12"/>
      <c r="Z11" s="35" t="str">
        <f t="shared" si="0"/>
        <v/>
      </c>
      <c r="AA11" s="60"/>
    </row>
    <row r="12" spans="1:27" x14ac:dyDescent="0.35">
      <c r="A12" s="7" t="s">
        <v>22</v>
      </c>
      <c r="B12" s="60" t="s">
        <v>99</v>
      </c>
      <c r="C12" s="60" t="s">
        <v>137</v>
      </c>
      <c r="D12" s="60" t="s">
        <v>101</v>
      </c>
      <c r="E12" s="60" t="s">
        <v>138</v>
      </c>
      <c r="F12" s="60" t="s">
        <v>103</v>
      </c>
      <c r="G12" s="60" t="s">
        <v>104</v>
      </c>
      <c r="H12" s="60">
        <v>26</v>
      </c>
      <c r="I12" s="60">
        <v>1</v>
      </c>
      <c r="J12" s="60">
        <v>26</v>
      </c>
      <c r="K12" s="12">
        <v>46482</v>
      </c>
      <c r="L12" s="12">
        <v>46486</v>
      </c>
      <c r="M12" s="60" t="s">
        <v>70</v>
      </c>
      <c r="N12" s="60" t="s">
        <v>70</v>
      </c>
      <c r="O12" s="60" t="s">
        <v>111</v>
      </c>
      <c r="P12" s="60" t="s">
        <v>105</v>
      </c>
      <c r="Q12" s="60"/>
      <c r="R12" s="60" t="s">
        <v>106</v>
      </c>
      <c r="S12" s="60" t="s">
        <v>139</v>
      </c>
      <c r="T12" s="13">
        <v>0</v>
      </c>
      <c r="U12" s="60"/>
      <c r="V12" s="60" t="s">
        <v>108</v>
      </c>
      <c r="W12" s="12"/>
      <c r="X12" s="12"/>
      <c r="Y12" s="12"/>
      <c r="Z12" s="35" t="str">
        <f t="shared" si="0"/>
        <v/>
      </c>
      <c r="AA12" s="60"/>
    </row>
    <row r="13" spans="1:27" x14ac:dyDescent="0.35">
      <c r="A13" s="7" t="s">
        <v>8</v>
      </c>
      <c r="B13" s="60" t="s">
        <v>140</v>
      </c>
      <c r="C13" s="60" t="s">
        <v>141</v>
      </c>
      <c r="D13" s="60" t="s">
        <v>142</v>
      </c>
      <c r="E13" s="60" t="s">
        <v>143</v>
      </c>
      <c r="F13" s="60" t="s">
        <v>144</v>
      </c>
      <c r="G13" s="60" t="s">
        <v>104</v>
      </c>
      <c r="H13" s="60">
        <v>1</v>
      </c>
      <c r="I13" s="60">
        <v>2</v>
      </c>
      <c r="J13" s="60">
        <v>2</v>
      </c>
      <c r="K13" s="12">
        <v>46307</v>
      </c>
      <c r="L13" s="12">
        <v>46318</v>
      </c>
      <c r="M13" s="60" t="s">
        <v>100</v>
      </c>
      <c r="N13" s="60" t="s">
        <v>100</v>
      </c>
      <c r="O13" s="60" t="s">
        <v>111</v>
      </c>
      <c r="P13" s="60" t="s">
        <v>105</v>
      </c>
      <c r="Q13" s="60"/>
      <c r="R13" s="60" t="s">
        <v>106</v>
      </c>
      <c r="S13" s="60" t="s">
        <v>145</v>
      </c>
      <c r="T13" s="13">
        <v>0</v>
      </c>
      <c r="U13" s="60"/>
      <c r="V13" s="60" t="s">
        <v>108</v>
      </c>
      <c r="W13" s="12"/>
      <c r="X13" s="12"/>
      <c r="Y13" s="12"/>
      <c r="Z13" s="35" t="str">
        <f t="shared" si="0"/>
        <v/>
      </c>
      <c r="AA13" s="60"/>
    </row>
    <row r="14" spans="1:27" ht="29" customHeight="1" x14ac:dyDescent="0.35">
      <c r="A14" s="7" t="s">
        <v>8</v>
      </c>
      <c r="B14" s="60" t="s">
        <v>140</v>
      </c>
      <c r="C14" s="60" t="s">
        <v>146</v>
      </c>
      <c r="D14" s="60" t="s">
        <v>142</v>
      </c>
      <c r="E14" s="60" t="s">
        <v>147</v>
      </c>
      <c r="F14" s="60" t="s">
        <v>148</v>
      </c>
      <c r="G14" s="60" t="s">
        <v>104</v>
      </c>
      <c r="H14" s="60">
        <v>1</v>
      </c>
      <c r="I14" s="60">
        <v>3</v>
      </c>
      <c r="J14" s="60">
        <v>3</v>
      </c>
      <c r="K14" s="12">
        <v>46307</v>
      </c>
      <c r="L14" s="12">
        <v>46325</v>
      </c>
      <c r="M14" s="60" t="s">
        <v>141</v>
      </c>
      <c r="N14" s="60" t="s">
        <v>141</v>
      </c>
      <c r="O14" s="60" t="s">
        <v>149</v>
      </c>
      <c r="P14" s="60" t="s">
        <v>105</v>
      </c>
      <c r="Q14" s="60"/>
      <c r="R14" s="60" t="s">
        <v>106</v>
      </c>
      <c r="S14" s="60" t="s">
        <v>150</v>
      </c>
      <c r="T14" s="13">
        <v>0</v>
      </c>
      <c r="U14" s="60"/>
      <c r="V14" s="60" t="s">
        <v>108</v>
      </c>
      <c r="W14" s="12"/>
      <c r="X14" s="12"/>
      <c r="Y14" s="12"/>
      <c r="Z14" s="35" t="str">
        <f t="shared" si="0"/>
        <v/>
      </c>
      <c r="AA14" s="60"/>
    </row>
    <row r="15" spans="1:27" ht="29" customHeight="1" x14ac:dyDescent="0.35">
      <c r="A15" s="7" t="s">
        <v>8</v>
      </c>
      <c r="B15" s="60" t="s">
        <v>140</v>
      </c>
      <c r="C15" s="60" t="s">
        <v>151</v>
      </c>
      <c r="D15" s="60" t="s">
        <v>101</v>
      </c>
      <c r="E15" s="60" t="s">
        <v>152</v>
      </c>
      <c r="F15" s="60" t="s">
        <v>153</v>
      </c>
      <c r="G15" s="60" t="s">
        <v>104</v>
      </c>
      <c r="H15" s="60">
        <v>2</v>
      </c>
      <c r="I15" s="60">
        <v>3</v>
      </c>
      <c r="J15" s="60">
        <v>4</v>
      </c>
      <c r="K15" s="12">
        <v>46314</v>
      </c>
      <c r="L15" s="12">
        <v>46332</v>
      </c>
      <c r="M15" s="60" t="s">
        <v>146</v>
      </c>
      <c r="N15" s="60" t="s">
        <v>146</v>
      </c>
      <c r="O15" s="60" t="s">
        <v>149</v>
      </c>
      <c r="P15" s="60" t="s">
        <v>105</v>
      </c>
      <c r="Q15" s="60"/>
      <c r="R15" s="60" t="s">
        <v>106</v>
      </c>
      <c r="S15" s="60" t="s">
        <v>154</v>
      </c>
      <c r="T15" s="13">
        <v>0</v>
      </c>
      <c r="U15" s="60"/>
      <c r="V15" s="60" t="s">
        <v>108</v>
      </c>
      <c r="W15" s="12"/>
      <c r="X15" s="12"/>
      <c r="Y15" s="12"/>
      <c r="Z15" s="35" t="str">
        <f t="shared" si="0"/>
        <v/>
      </c>
      <c r="AA15" s="60"/>
    </row>
    <row r="16" spans="1:27" ht="29" customHeight="1" x14ac:dyDescent="0.35">
      <c r="A16" s="7" t="s">
        <v>8</v>
      </c>
      <c r="B16" s="60" t="s">
        <v>140</v>
      </c>
      <c r="C16" s="60" t="s">
        <v>155</v>
      </c>
      <c r="D16" s="60" t="s">
        <v>156</v>
      </c>
      <c r="E16" s="60" t="s">
        <v>157</v>
      </c>
      <c r="F16" s="60" t="s">
        <v>158</v>
      </c>
      <c r="G16" s="60" t="s">
        <v>104</v>
      </c>
      <c r="H16" s="60">
        <v>1</v>
      </c>
      <c r="I16" s="60">
        <v>3</v>
      </c>
      <c r="J16" s="60">
        <v>3</v>
      </c>
      <c r="K16" s="12">
        <v>46307</v>
      </c>
      <c r="L16" s="12">
        <v>46325</v>
      </c>
      <c r="M16" s="60" t="s">
        <v>141</v>
      </c>
      <c r="N16" s="60" t="s">
        <v>141</v>
      </c>
      <c r="O16" s="60" t="s">
        <v>149</v>
      </c>
      <c r="P16" s="60" t="s">
        <v>105</v>
      </c>
      <c r="Q16" s="60"/>
      <c r="R16" s="60" t="s">
        <v>106</v>
      </c>
      <c r="S16" s="60" t="s">
        <v>159</v>
      </c>
      <c r="T16" s="13">
        <v>0</v>
      </c>
      <c r="U16" s="60"/>
      <c r="V16" s="60" t="s">
        <v>108</v>
      </c>
      <c r="W16" s="12"/>
      <c r="X16" s="12"/>
      <c r="Y16" s="12"/>
      <c r="Z16" s="35" t="str">
        <f t="shared" si="0"/>
        <v/>
      </c>
      <c r="AA16" s="60"/>
    </row>
    <row r="17" spans="1:27" x14ac:dyDescent="0.35">
      <c r="A17" s="7" t="s">
        <v>8</v>
      </c>
      <c r="B17" s="60" t="s">
        <v>140</v>
      </c>
      <c r="C17" s="60" t="s">
        <v>160</v>
      </c>
      <c r="D17" s="60" t="s">
        <v>142</v>
      </c>
      <c r="E17" s="60" t="s">
        <v>161</v>
      </c>
      <c r="F17" s="60" t="s">
        <v>162</v>
      </c>
      <c r="G17" s="60" t="s">
        <v>104</v>
      </c>
      <c r="H17" s="60">
        <v>3</v>
      </c>
      <c r="I17" s="60">
        <v>2</v>
      </c>
      <c r="J17" s="60">
        <v>4</v>
      </c>
      <c r="K17" s="12">
        <v>46321</v>
      </c>
      <c r="L17" s="12">
        <v>46332</v>
      </c>
      <c r="M17" s="60" t="s">
        <v>151</v>
      </c>
      <c r="N17" s="60" t="s">
        <v>151</v>
      </c>
      <c r="O17" s="60" t="s">
        <v>149</v>
      </c>
      <c r="P17" s="60" t="s">
        <v>105</v>
      </c>
      <c r="Q17" s="60"/>
      <c r="R17" s="60" t="s">
        <v>106</v>
      </c>
      <c r="S17" s="60" t="s">
        <v>163</v>
      </c>
      <c r="T17" s="13">
        <v>0</v>
      </c>
      <c r="U17" s="60"/>
      <c r="V17" s="60" t="s">
        <v>108</v>
      </c>
      <c r="W17" s="12"/>
      <c r="X17" s="12"/>
      <c r="Y17" s="12"/>
      <c r="Z17" s="35" t="str">
        <f t="shared" si="0"/>
        <v/>
      </c>
      <c r="AA17" s="60"/>
    </row>
    <row r="18" spans="1:27" ht="29" customHeight="1" x14ac:dyDescent="0.35">
      <c r="A18" s="7" t="s">
        <v>8</v>
      </c>
      <c r="B18" s="60" t="s">
        <v>140</v>
      </c>
      <c r="C18" s="60" t="s">
        <v>164</v>
      </c>
      <c r="D18" s="60" t="s">
        <v>142</v>
      </c>
      <c r="E18" s="60" t="s">
        <v>165</v>
      </c>
      <c r="F18" s="60" t="s">
        <v>166</v>
      </c>
      <c r="G18" s="60" t="s">
        <v>104</v>
      </c>
      <c r="H18" s="60">
        <v>2</v>
      </c>
      <c r="I18" s="60">
        <v>3</v>
      </c>
      <c r="J18" s="60">
        <v>4</v>
      </c>
      <c r="K18" s="12">
        <v>46314</v>
      </c>
      <c r="L18" s="12">
        <v>46332</v>
      </c>
      <c r="M18" s="60" t="s">
        <v>146</v>
      </c>
      <c r="N18" s="60" t="s">
        <v>146</v>
      </c>
      <c r="O18" s="60" t="s">
        <v>149</v>
      </c>
      <c r="P18" s="60" t="s">
        <v>105</v>
      </c>
      <c r="Q18" s="60"/>
      <c r="R18" s="60" t="s">
        <v>106</v>
      </c>
      <c r="S18" s="60" t="s">
        <v>167</v>
      </c>
      <c r="T18" s="13">
        <v>0</v>
      </c>
      <c r="U18" s="60"/>
      <c r="V18" s="60" t="s">
        <v>108</v>
      </c>
      <c r="W18" s="12"/>
      <c r="X18" s="12"/>
      <c r="Y18" s="12"/>
      <c r="Z18" s="35" t="str">
        <f t="shared" si="0"/>
        <v/>
      </c>
      <c r="AA18" s="60"/>
    </row>
    <row r="19" spans="1:27" ht="29" customHeight="1" x14ac:dyDescent="0.35">
      <c r="A19" s="7" t="s">
        <v>8</v>
      </c>
      <c r="B19" s="60" t="s">
        <v>140</v>
      </c>
      <c r="C19" s="60" t="s">
        <v>168</v>
      </c>
      <c r="D19" s="60" t="s">
        <v>169</v>
      </c>
      <c r="E19" s="60" t="s">
        <v>170</v>
      </c>
      <c r="F19" s="60" t="s">
        <v>171</v>
      </c>
      <c r="G19" s="60" t="s">
        <v>104</v>
      </c>
      <c r="H19" s="60">
        <v>1</v>
      </c>
      <c r="I19" s="60">
        <v>2</v>
      </c>
      <c r="J19" s="60">
        <v>2</v>
      </c>
      <c r="K19" s="12">
        <v>46307</v>
      </c>
      <c r="L19" s="12">
        <v>46318</v>
      </c>
      <c r="M19" s="60" t="s">
        <v>100</v>
      </c>
      <c r="N19" s="60" t="s">
        <v>100</v>
      </c>
      <c r="O19" s="60" t="s">
        <v>111</v>
      </c>
      <c r="P19" s="60" t="s">
        <v>105</v>
      </c>
      <c r="Q19" s="60"/>
      <c r="R19" s="60" t="s">
        <v>106</v>
      </c>
      <c r="S19" s="60" t="s">
        <v>172</v>
      </c>
      <c r="T19" s="13">
        <v>0</v>
      </c>
      <c r="U19" s="60"/>
      <c r="V19" s="60" t="s">
        <v>108</v>
      </c>
      <c r="W19" s="12"/>
      <c r="X19" s="12"/>
      <c r="Y19" s="12"/>
      <c r="Z19" s="35" t="str">
        <f t="shared" si="0"/>
        <v/>
      </c>
      <c r="AA19" s="60"/>
    </row>
    <row r="20" spans="1:27" x14ac:dyDescent="0.35">
      <c r="A20" s="7" t="s">
        <v>8</v>
      </c>
      <c r="B20" s="60" t="s">
        <v>140</v>
      </c>
      <c r="C20" s="60" t="s">
        <v>173</v>
      </c>
      <c r="D20" s="60" t="s">
        <v>174</v>
      </c>
      <c r="E20" s="60" t="s">
        <v>175</v>
      </c>
      <c r="F20" s="60" t="s">
        <v>176</v>
      </c>
      <c r="G20" s="60" t="s">
        <v>104</v>
      </c>
      <c r="H20" s="60">
        <v>2</v>
      </c>
      <c r="I20" s="60">
        <v>3</v>
      </c>
      <c r="J20" s="60">
        <v>4</v>
      </c>
      <c r="K20" s="12">
        <v>46314</v>
      </c>
      <c r="L20" s="12">
        <v>46332</v>
      </c>
      <c r="M20" s="60" t="s">
        <v>146</v>
      </c>
      <c r="N20" s="60" t="s">
        <v>146</v>
      </c>
      <c r="O20" s="60" t="s">
        <v>149</v>
      </c>
      <c r="P20" s="60" t="s">
        <v>105</v>
      </c>
      <c r="Q20" s="60"/>
      <c r="R20" s="60" t="s">
        <v>106</v>
      </c>
      <c r="S20" s="60" t="s">
        <v>177</v>
      </c>
      <c r="T20" s="13">
        <v>0</v>
      </c>
      <c r="U20" s="60"/>
      <c r="V20" s="60" t="s">
        <v>108</v>
      </c>
      <c r="W20" s="12"/>
      <c r="X20" s="12"/>
      <c r="Y20" s="12"/>
      <c r="Z20" s="35" t="str">
        <f t="shared" si="0"/>
        <v/>
      </c>
      <c r="AA20" s="60"/>
    </row>
    <row r="21" spans="1:27" x14ac:dyDescent="0.35">
      <c r="A21" s="7" t="s">
        <v>8</v>
      </c>
      <c r="B21" s="60" t="s">
        <v>140</v>
      </c>
      <c r="C21" s="60" t="s">
        <v>178</v>
      </c>
      <c r="D21" s="60" t="s">
        <v>101</v>
      </c>
      <c r="E21" s="60" t="s">
        <v>179</v>
      </c>
      <c r="F21" s="60" t="s">
        <v>103</v>
      </c>
      <c r="G21" s="60" t="s">
        <v>104</v>
      </c>
      <c r="H21" s="60">
        <v>4</v>
      </c>
      <c r="I21" s="60">
        <v>1</v>
      </c>
      <c r="J21" s="60">
        <v>4</v>
      </c>
      <c r="K21" s="12">
        <v>46328</v>
      </c>
      <c r="L21" s="12">
        <v>46332</v>
      </c>
      <c r="M21" s="60" t="s">
        <v>160</v>
      </c>
      <c r="N21" s="60" t="s">
        <v>160</v>
      </c>
      <c r="O21" s="60" t="s">
        <v>111</v>
      </c>
      <c r="P21" s="60" t="s">
        <v>105</v>
      </c>
      <c r="Q21" s="60"/>
      <c r="R21" s="60" t="s">
        <v>106</v>
      </c>
      <c r="S21" s="60" t="s">
        <v>180</v>
      </c>
      <c r="T21" s="13">
        <v>0</v>
      </c>
      <c r="U21" s="60"/>
      <c r="V21" s="60" t="s">
        <v>108</v>
      </c>
      <c r="W21" s="12"/>
      <c r="X21" s="12"/>
      <c r="Y21" s="12"/>
      <c r="Z21" s="35" t="str">
        <f t="shared" si="0"/>
        <v/>
      </c>
      <c r="AA21" s="60"/>
    </row>
    <row r="22" spans="1:27" ht="29" customHeight="1" x14ac:dyDescent="0.35">
      <c r="A22" s="7" t="s">
        <v>8</v>
      </c>
      <c r="B22" s="60" t="s">
        <v>140</v>
      </c>
      <c r="C22" s="60" t="s">
        <v>181</v>
      </c>
      <c r="D22" s="60" t="s">
        <v>169</v>
      </c>
      <c r="E22" s="60" t="s">
        <v>182</v>
      </c>
      <c r="F22" s="60" t="s">
        <v>183</v>
      </c>
      <c r="G22" s="60" t="s">
        <v>104</v>
      </c>
      <c r="H22" s="60">
        <v>2</v>
      </c>
      <c r="I22" s="60">
        <v>3</v>
      </c>
      <c r="J22" s="60">
        <v>4</v>
      </c>
      <c r="K22" s="12">
        <v>46314</v>
      </c>
      <c r="L22" s="12">
        <v>46332</v>
      </c>
      <c r="M22" s="60" t="s">
        <v>168</v>
      </c>
      <c r="N22" s="60" t="s">
        <v>168</v>
      </c>
      <c r="O22" s="60" t="s">
        <v>111</v>
      </c>
      <c r="P22" s="60" t="s">
        <v>105</v>
      </c>
      <c r="Q22" s="60"/>
      <c r="R22" s="60" t="s">
        <v>106</v>
      </c>
      <c r="S22" s="60" t="s">
        <v>184</v>
      </c>
      <c r="T22" s="13">
        <v>0</v>
      </c>
      <c r="U22" s="60"/>
      <c r="V22" s="60" t="s">
        <v>108</v>
      </c>
      <c r="W22" s="12"/>
      <c r="X22" s="12"/>
      <c r="Y22" s="12"/>
      <c r="Z22" s="35" t="str">
        <f t="shared" si="0"/>
        <v/>
      </c>
      <c r="AA22" s="60"/>
    </row>
    <row r="23" spans="1:27" x14ac:dyDescent="0.35">
      <c r="A23" s="7" t="s">
        <v>8</v>
      </c>
      <c r="B23" s="60" t="s">
        <v>140</v>
      </c>
      <c r="C23" s="60" t="s">
        <v>185</v>
      </c>
      <c r="D23" s="60" t="s">
        <v>101</v>
      </c>
      <c r="E23" s="60" t="s">
        <v>186</v>
      </c>
      <c r="F23" s="60" t="s">
        <v>187</v>
      </c>
      <c r="G23" s="60" t="s">
        <v>104</v>
      </c>
      <c r="H23" s="60">
        <v>2</v>
      </c>
      <c r="I23" s="60">
        <v>3</v>
      </c>
      <c r="J23" s="60">
        <v>4</v>
      </c>
      <c r="K23" s="12">
        <v>46314</v>
      </c>
      <c r="L23" s="12">
        <v>46332</v>
      </c>
      <c r="M23" s="60" t="s">
        <v>168</v>
      </c>
      <c r="N23" s="60" t="s">
        <v>168</v>
      </c>
      <c r="O23" s="60" t="s">
        <v>111</v>
      </c>
      <c r="P23" s="60" t="s">
        <v>105</v>
      </c>
      <c r="Q23" s="60"/>
      <c r="R23" s="60" t="s">
        <v>106</v>
      </c>
      <c r="S23" s="60" t="s">
        <v>188</v>
      </c>
      <c r="T23" s="13">
        <v>0</v>
      </c>
      <c r="U23" s="60"/>
      <c r="V23" s="60" t="s">
        <v>108</v>
      </c>
      <c r="W23" s="12"/>
      <c r="X23" s="12"/>
      <c r="Y23" s="12"/>
      <c r="Z23" s="35" t="str">
        <f t="shared" si="0"/>
        <v/>
      </c>
      <c r="AA23" s="60"/>
    </row>
    <row r="24" spans="1:27" x14ac:dyDescent="0.35">
      <c r="A24" s="7" t="s">
        <v>8</v>
      </c>
      <c r="B24" s="60" t="s">
        <v>189</v>
      </c>
      <c r="C24" s="60" t="s">
        <v>190</v>
      </c>
      <c r="D24" s="60" t="s">
        <v>169</v>
      </c>
      <c r="E24" s="60" t="s">
        <v>191</v>
      </c>
      <c r="F24" s="60" t="s">
        <v>183</v>
      </c>
      <c r="G24" s="60" t="s">
        <v>104</v>
      </c>
      <c r="H24" s="60">
        <v>1</v>
      </c>
      <c r="I24" s="60">
        <v>2</v>
      </c>
      <c r="J24" s="60">
        <v>2</v>
      </c>
      <c r="K24" s="12">
        <v>46307</v>
      </c>
      <c r="L24" s="12">
        <v>46318</v>
      </c>
      <c r="M24" s="60" t="s">
        <v>100</v>
      </c>
      <c r="N24" s="60" t="s">
        <v>100</v>
      </c>
      <c r="O24" s="60" t="s">
        <v>111</v>
      </c>
      <c r="P24" s="60" t="s">
        <v>105</v>
      </c>
      <c r="Q24" s="60"/>
      <c r="R24" s="60" t="s">
        <v>106</v>
      </c>
      <c r="S24" s="60" t="s">
        <v>192</v>
      </c>
      <c r="T24" s="13">
        <v>0</v>
      </c>
      <c r="U24" s="60"/>
      <c r="V24" s="60" t="s">
        <v>108</v>
      </c>
      <c r="W24" s="12"/>
      <c r="X24" s="12"/>
      <c r="Y24" s="12"/>
      <c r="Z24" s="35" t="str">
        <f t="shared" si="0"/>
        <v/>
      </c>
      <c r="AA24" s="60"/>
    </row>
    <row r="25" spans="1:27" ht="29" customHeight="1" x14ac:dyDescent="0.35">
      <c r="A25" s="7" t="s">
        <v>8</v>
      </c>
      <c r="B25" s="60" t="s">
        <v>189</v>
      </c>
      <c r="C25" s="60" t="s">
        <v>193</v>
      </c>
      <c r="D25" s="60" t="s">
        <v>194</v>
      </c>
      <c r="E25" s="60" t="s">
        <v>195</v>
      </c>
      <c r="F25" s="60" t="s">
        <v>196</v>
      </c>
      <c r="G25" s="60" t="s">
        <v>104</v>
      </c>
      <c r="H25" s="60">
        <v>1</v>
      </c>
      <c r="I25" s="60">
        <v>3</v>
      </c>
      <c r="J25" s="60">
        <v>3</v>
      </c>
      <c r="K25" s="12">
        <v>46307</v>
      </c>
      <c r="L25" s="12">
        <v>46325</v>
      </c>
      <c r="M25" s="60" t="s">
        <v>190</v>
      </c>
      <c r="N25" s="60" t="s">
        <v>190</v>
      </c>
      <c r="O25" s="60" t="s">
        <v>149</v>
      </c>
      <c r="P25" s="60" t="s">
        <v>105</v>
      </c>
      <c r="Q25" s="60"/>
      <c r="R25" s="60" t="s">
        <v>106</v>
      </c>
      <c r="S25" s="60" t="s">
        <v>197</v>
      </c>
      <c r="T25" s="13">
        <v>0</v>
      </c>
      <c r="U25" s="60"/>
      <c r="V25" s="60" t="s">
        <v>108</v>
      </c>
      <c r="W25" s="12"/>
      <c r="X25" s="12"/>
      <c r="Y25" s="12"/>
      <c r="Z25" s="35" t="str">
        <f t="shared" si="0"/>
        <v/>
      </c>
      <c r="AA25" s="60"/>
    </row>
    <row r="26" spans="1:27" ht="29" customHeight="1" x14ac:dyDescent="0.35">
      <c r="A26" s="7" t="s">
        <v>8</v>
      </c>
      <c r="B26" s="60" t="s">
        <v>189</v>
      </c>
      <c r="C26" s="60" t="s">
        <v>198</v>
      </c>
      <c r="D26" s="60" t="s">
        <v>169</v>
      </c>
      <c r="E26" s="60" t="s">
        <v>199</v>
      </c>
      <c r="F26" s="60" t="s">
        <v>200</v>
      </c>
      <c r="G26" s="60" t="s">
        <v>104</v>
      </c>
      <c r="H26" s="60">
        <v>1</v>
      </c>
      <c r="I26" s="60">
        <v>4</v>
      </c>
      <c r="J26" s="60">
        <v>4</v>
      </c>
      <c r="K26" s="12">
        <v>46307</v>
      </c>
      <c r="L26" s="12">
        <v>46332</v>
      </c>
      <c r="M26" s="60" t="s">
        <v>100</v>
      </c>
      <c r="N26" s="60" t="s">
        <v>100</v>
      </c>
      <c r="O26" s="60" t="s">
        <v>111</v>
      </c>
      <c r="P26" s="14" t="s">
        <v>201</v>
      </c>
      <c r="Q26" s="60"/>
      <c r="R26" s="60" t="s">
        <v>106</v>
      </c>
      <c r="S26" s="60" t="s">
        <v>202</v>
      </c>
      <c r="T26" s="13">
        <v>0</v>
      </c>
      <c r="U26" s="60"/>
      <c r="V26" s="60" t="s">
        <v>108</v>
      </c>
      <c r="W26" s="12"/>
      <c r="X26" s="12"/>
      <c r="Y26" s="12"/>
      <c r="Z26" s="35" t="str">
        <f t="shared" si="0"/>
        <v/>
      </c>
      <c r="AA26" s="60"/>
    </row>
    <row r="27" spans="1:27" ht="29" customHeight="1" x14ac:dyDescent="0.35">
      <c r="A27" s="7" t="s">
        <v>8</v>
      </c>
      <c r="B27" s="60" t="s">
        <v>189</v>
      </c>
      <c r="C27" s="60" t="s">
        <v>203</v>
      </c>
      <c r="D27" s="60" t="s">
        <v>194</v>
      </c>
      <c r="E27" s="60" t="s">
        <v>204</v>
      </c>
      <c r="F27" s="60" t="s">
        <v>205</v>
      </c>
      <c r="G27" s="60" t="s">
        <v>104</v>
      </c>
      <c r="H27" s="60">
        <v>2</v>
      </c>
      <c r="I27" s="60">
        <v>3</v>
      </c>
      <c r="J27" s="60">
        <v>4</v>
      </c>
      <c r="K27" s="12">
        <v>46314</v>
      </c>
      <c r="L27" s="12">
        <v>46332</v>
      </c>
      <c r="M27" s="60" t="s">
        <v>190</v>
      </c>
      <c r="N27" s="60" t="s">
        <v>190</v>
      </c>
      <c r="O27" s="60" t="s">
        <v>111</v>
      </c>
      <c r="P27" s="60" t="s">
        <v>105</v>
      </c>
      <c r="Q27" s="60"/>
      <c r="R27" s="60" t="s">
        <v>106</v>
      </c>
      <c r="S27" s="60" t="s">
        <v>206</v>
      </c>
      <c r="T27" s="13">
        <v>0</v>
      </c>
      <c r="U27" s="60"/>
      <c r="V27" s="60" t="s">
        <v>108</v>
      </c>
      <c r="W27" s="12"/>
      <c r="X27" s="12"/>
      <c r="Y27" s="12"/>
      <c r="Z27" s="35" t="str">
        <f t="shared" si="0"/>
        <v/>
      </c>
      <c r="AA27" s="60"/>
    </row>
    <row r="28" spans="1:27" x14ac:dyDescent="0.35">
      <c r="A28" s="7" t="s">
        <v>8</v>
      </c>
      <c r="B28" s="60" t="s">
        <v>189</v>
      </c>
      <c r="C28" s="60" t="s">
        <v>207</v>
      </c>
      <c r="D28" s="60" t="s">
        <v>174</v>
      </c>
      <c r="E28" s="60" t="s">
        <v>208</v>
      </c>
      <c r="F28" s="60" t="s">
        <v>209</v>
      </c>
      <c r="G28" s="60" t="s">
        <v>104</v>
      </c>
      <c r="H28" s="60">
        <v>2</v>
      </c>
      <c r="I28" s="60">
        <v>3</v>
      </c>
      <c r="J28" s="60">
        <v>4</v>
      </c>
      <c r="K28" s="12">
        <v>46314</v>
      </c>
      <c r="L28" s="12">
        <v>46332</v>
      </c>
      <c r="M28" s="60" t="s">
        <v>190</v>
      </c>
      <c r="N28" s="60" t="s">
        <v>190</v>
      </c>
      <c r="O28" s="60" t="s">
        <v>111</v>
      </c>
      <c r="P28" s="60" t="s">
        <v>105</v>
      </c>
      <c r="Q28" s="60"/>
      <c r="R28" s="60" t="s">
        <v>106</v>
      </c>
      <c r="S28" s="60" t="s">
        <v>210</v>
      </c>
      <c r="T28" s="13">
        <v>0</v>
      </c>
      <c r="U28" s="60"/>
      <c r="V28" s="60" t="s">
        <v>108</v>
      </c>
      <c r="W28" s="12"/>
      <c r="X28" s="12"/>
      <c r="Y28" s="12"/>
      <c r="Z28" s="35" t="str">
        <f t="shared" si="0"/>
        <v/>
      </c>
      <c r="AA28" s="60"/>
    </row>
    <row r="29" spans="1:27" x14ac:dyDescent="0.35">
      <c r="A29" s="7" t="s">
        <v>8</v>
      </c>
      <c r="B29" s="60" t="s">
        <v>189</v>
      </c>
      <c r="C29" s="60" t="s">
        <v>211</v>
      </c>
      <c r="D29" s="60" t="s">
        <v>169</v>
      </c>
      <c r="E29" s="60" t="s">
        <v>212</v>
      </c>
      <c r="F29" s="60" t="s">
        <v>183</v>
      </c>
      <c r="G29" s="60" t="s">
        <v>104</v>
      </c>
      <c r="H29" s="60">
        <v>2</v>
      </c>
      <c r="I29" s="60">
        <v>3</v>
      </c>
      <c r="J29" s="60">
        <v>4</v>
      </c>
      <c r="K29" s="12">
        <v>46314</v>
      </c>
      <c r="L29" s="12">
        <v>46332</v>
      </c>
      <c r="M29" s="60" t="s">
        <v>168</v>
      </c>
      <c r="N29" s="60" t="s">
        <v>168</v>
      </c>
      <c r="O29" s="60" t="s">
        <v>111</v>
      </c>
      <c r="P29" s="60" t="s">
        <v>105</v>
      </c>
      <c r="Q29" s="60"/>
      <c r="R29" s="60" t="s">
        <v>106</v>
      </c>
      <c r="S29" s="60" t="s">
        <v>213</v>
      </c>
      <c r="T29" s="13">
        <v>0</v>
      </c>
      <c r="U29" s="60"/>
      <c r="V29" s="60" t="s">
        <v>108</v>
      </c>
      <c r="W29" s="12"/>
      <c r="X29" s="12"/>
      <c r="Y29" s="12"/>
      <c r="Z29" s="35" t="str">
        <f t="shared" si="0"/>
        <v/>
      </c>
      <c r="AA29" s="60"/>
    </row>
    <row r="30" spans="1:27" ht="29" customHeight="1" x14ac:dyDescent="0.35">
      <c r="A30" s="7" t="s">
        <v>8</v>
      </c>
      <c r="B30" s="60" t="s">
        <v>189</v>
      </c>
      <c r="C30" s="60" t="s">
        <v>214</v>
      </c>
      <c r="D30" s="60" t="s">
        <v>169</v>
      </c>
      <c r="E30" s="60" t="s">
        <v>215</v>
      </c>
      <c r="F30" s="60" t="s">
        <v>183</v>
      </c>
      <c r="G30" s="60" t="s">
        <v>104</v>
      </c>
      <c r="H30" s="60">
        <v>2</v>
      </c>
      <c r="I30" s="60">
        <v>3</v>
      </c>
      <c r="J30" s="60">
        <v>4</v>
      </c>
      <c r="K30" s="12">
        <v>46314</v>
      </c>
      <c r="L30" s="12">
        <v>46332</v>
      </c>
      <c r="M30" s="60" t="s">
        <v>190</v>
      </c>
      <c r="N30" s="60" t="s">
        <v>190</v>
      </c>
      <c r="O30" s="60" t="s">
        <v>111</v>
      </c>
      <c r="P30" s="60" t="s">
        <v>105</v>
      </c>
      <c r="Q30" s="60"/>
      <c r="R30" s="60" t="s">
        <v>106</v>
      </c>
      <c r="S30" s="60" t="s">
        <v>216</v>
      </c>
      <c r="T30" s="13">
        <v>0</v>
      </c>
      <c r="U30" s="60"/>
      <c r="V30" s="60" t="s">
        <v>108</v>
      </c>
      <c r="W30" s="12"/>
      <c r="X30" s="12"/>
      <c r="Y30" s="12"/>
      <c r="Z30" s="35" t="str">
        <f t="shared" si="0"/>
        <v/>
      </c>
      <c r="AA30" s="60"/>
    </row>
    <row r="31" spans="1:27" ht="29" customHeight="1" x14ac:dyDescent="0.35">
      <c r="A31" s="7" t="s">
        <v>8</v>
      </c>
      <c r="B31" s="60" t="s">
        <v>189</v>
      </c>
      <c r="C31" s="60" t="s">
        <v>217</v>
      </c>
      <c r="D31" s="60" t="s">
        <v>156</v>
      </c>
      <c r="E31" s="60" t="s">
        <v>218</v>
      </c>
      <c r="F31" s="60" t="s">
        <v>158</v>
      </c>
      <c r="G31" s="60" t="s">
        <v>104</v>
      </c>
      <c r="H31" s="60">
        <v>2</v>
      </c>
      <c r="I31" s="60">
        <v>3</v>
      </c>
      <c r="J31" s="60">
        <v>4</v>
      </c>
      <c r="K31" s="12">
        <v>46314</v>
      </c>
      <c r="L31" s="12">
        <v>46332</v>
      </c>
      <c r="M31" s="60" t="s">
        <v>168</v>
      </c>
      <c r="N31" s="60" t="s">
        <v>168</v>
      </c>
      <c r="O31" s="60" t="s">
        <v>111</v>
      </c>
      <c r="P31" s="60" t="s">
        <v>105</v>
      </c>
      <c r="Q31" s="60"/>
      <c r="R31" s="60" t="s">
        <v>106</v>
      </c>
      <c r="S31" s="60" t="s">
        <v>219</v>
      </c>
      <c r="T31" s="13">
        <v>0</v>
      </c>
      <c r="U31" s="60"/>
      <c r="V31" s="60" t="s">
        <v>108</v>
      </c>
      <c r="W31" s="12"/>
      <c r="X31" s="12"/>
      <c r="Y31" s="12"/>
      <c r="Z31" s="35" t="str">
        <f t="shared" si="0"/>
        <v/>
      </c>
      <c r="AA31" s="60"/>
    </row>
    <row r="32" spans="1:27" ht="29" customHeight="1" x14ac:dyDescent="0.35">
      <c r="A32" s="7" t="s">
        <v>8</v>
      </c>
      <c r="B32" s="60" t="s">
        <v>189</v>
      </c>
      <c r="C32" s="60" t="s">
        <v>220</v>
      </c>
      <c r="D32" s="60" t="s">
        <v>156</v>
      </c>
      <c r="E32" s="60" t="s">
        <v>221</v>
      </c>
      <c r="F32" s="60" t="s">
        <v>158</v>
      </c>
      <c r="G32" s="60" t="s">
        <v>104</v>
      </c>
      <c r="H32" s="60">
        <v>3</v>
      </c>
      <c r="I32" s="60">
        <v>2</v>
      </c>
      <c r="J32" s="60">
        <v>4</v>
      </c>
      <c r="K32" s="12">
        <v>46321</v>
      </c>
      <c r="L32" s="12">
        <v>46332</v>
      </c>
      <c r="M32" s="60" t="s">
        <v>217</v>
      </c>
      <c r="N32" s="60" t="s">
        <v>217</v>
      </c>
      <c r="O32" s="60" t="s">
        <v>149</v>
      </c>
      <c r="P32" s="14" t="s">
        <v>201</v>
      </c>
      <c r="Q32" s="60"/>
      <c r="R32" s="60" t="s">
        <v>106</v>
      </c>
      <c r="S32" s="60" t="s">
        <v>222</v>
      </c>
      <c r="T32" s="13">
        <v>0</v>
      </c>
      <c r="U32" s="60"/>
      <c r="V32" s="60" t="s">
        <v>108</v>
      </c>
      <c r="W32" s="12"/>
      <c r="X32" s="12"/>
      <c r="Y32" s="12"/>
      <c r="Z32" s="35" t="str">
        <f t="shared" si="0"/>
        <v/>
      </c>
      <c r="AA32" s="60"/>
    </row>
    <row r="33" spans="1:27" ht="29" customHeight="1" x14ac:dyDescent="0.35">
      <c r="A33" s="7" t="s">
        <v>8</v>
      </c>
      <c r="B33" s="60" t="s">
        <v>189</v>
      </c>
      <c r="C33" s="60" t="s">
        <v>223</v>
      </c>
      <c r="D33" s="60" t="s">
        <v>194</v>
      </c>
      <c r="E33" s="60" t="s">
        <v>224</v>
      </c>
      <c r="F33" s="60" t="s">
        <v>205</v>
      </c>
      <c r="G33" s="60" t="s">
        <v>104</v>
      </c>
      <c r="H33" s="60">
        <v>3</v>
      </c>
      <c r="I33" s="60">
        <v>2</v>
      </c>
      <c r="J33" s="60">
        <v>4</v>
      </c>
      <c r="K33" s="12">
        <v>46321</v>
      </c>
      <c r="L33" s="12">
        <v>46332</v>
      </c>
      <c r="M33" s="60" t="s">
        <v>203</v>
      </c>
      <c r="N33" s="60" t="s">
        <v>203</v>
      </c>
      <c r="O33" s="60" t="s">
        <v>149</v>
      </c>
      <c r="P33" s="60" t="s">
        <v>105</v>
      </c>
      <c r="Q33" s="60"/>
      <c r="R33" s="60" t="s">
        <v>106</v>
      </c>
      <c r="S33" s="60" t="s">
        <v>225</v>
      </c>
      <c r="T33" s="13">
        <v>0</v>
      </c>
      <c r="U33" s="60"/>
      <c r="V33" s="60" t="s">
        <v>108</v>
      </c>
      <c r="W33" s="12"/>
      <c r="X33" s="12"/>
      <c r="Y33" s="12"/>
      <c r="Z33" s="35" t="str">
        <f t="shared" si="0"/>
        <v/>
      </c>
      <c r="AA33" s="60"/>
    </row>
    <row r="34" spans="1:27" x14ac:dyDescent="0.35">
      <c r="A34" s="7" t="s">
        <v>8</v>
      </c>
      <c r="B34" s="60" t="s">
        <v>189</v>
      </c>
      <c r="C34" s="60" t="s">
        <v>226</v>
      </c>
      <c r="D34" s="60" t="s">
        <v>194</v>
      </c>
      <c r="E34" s="60" t="s">
        <v>227</v>
      </c>
      <c r="F34" s="60" t="s">
        <v>228</v>
      </c>
      <c r="G34" s="60" t="s">
        <v>104</v>
      </c>
      <c r="H34" s="60">
        <v>4</v>
      </c>
      <c r="I34" s="60">
        <v>1</v>
      </c>
      <c r="J34" s="60">
        <v>4</v>
      </c>
      <c r="K34" s="12">
        <v>46328</v>
      </c>
      <c r="L34" s="12">
        <v>46332</v>
      </c>
      <c r="M34" s="60" t="s">
        <v>223</v>
      </c>
      <c r="N34" s="60" t="s">
        <v>223</v>
      </c>
      <c r="O34" s="60" t="s">
        <v>111</v>
      </c>
      <c r="P34" s="14" t="s">
        <v>201</v>
      </c>
      <c r="Q34" s="60"/>
      <c r="R34" s="60" t="s">
        <v>106</v>
      </c>
      <c r="S34" s="60" t="s">
        <v>229</v>
      </c>
      <c r="T34" s="13">
        <v>0</v>
      </c>
      <c r="U34" s="60"/>
      <c r="V34" s="60" t="s">
        <v>108</v>
      </c>
      <c r="W34" s="12"/>
      <c r="X34" s="12"/>
      <c r="Y34" s="12"/>
      <c r="Z34" s="35" t="str">
        <f t="shared" si="0"/>
        <v/>
      </c>
      <c r="AA34" s="60"/>
    </row>
    <row r="35" spans="1:27" x14ac:dyDescent="0.35">
      <c r="A35" s="15" t="s">
        <v>8</v>
      </c>
      <c r="B35" s="16" t="s">
        <v>189</v>
      </c>
      <c r="C35" s="16" t="s">
        <v>48</v>
      </c>
      <c r="D35" s="16" t="s">
        <v>101</v>
      </c>
      <c r="E35" s="16" t="s">
        <v>230</v>
      </c>
      <c r="F35" s="16" t="s">
        <v>49</v>
      </c>
      <c r="G35" s="16" t="s">
        <v>231</v>
      </c>
      <c r="H35" s="16">
        <v>4</v>
      </c>
      <c r="I35" s="16">
        <v>1</v>
      </c>
      <c r="J35" s="16">
        <v>4</v>
      </c>
      <c r="K35" s="17">
        <v>46328</v>
      </c>
      <c r="L35" s="17">
        <v>46332</v>
      </c>
      <c r="M35" s="16" t="s">
        <v>232</v>
      </c>
      <c r="N35" s="16" t="s">
        <v>226</v>
      </c>
      <c r="O35" s="16" t="s">
        <v>111</v>
      </c>
      <c r="P35" s="14" t="s">
        <v>201</v>
      </c>
      <c r="Q35" s="16"/>
      <c r="R35" s="16" t="s">
        <v>106</v>
      </c>
      <c r="S35" s="16" t="s">
        <v>233</v>
      </c>
      <c r="T35" s="18">
        <v>0</v>
      </c>
      <c r="U35" s="16"/>
      <c r="V35" s="60" t="s">
        <v>108</v>
      </c>
      <c r="W35" s="12"/>
      <c r="X35" s="12"/>
      <c r="Y35" s="12"/>
      <c r="Z35" s="35" t="str">
        <f t="shared" si="0"/>
        <v/>
      </c>
      <c r="AA35" s="60"/>
    </row>
    <row r="36" spans="1:27" x14ac:dyDescent="0.35">
      <c r="A36" s="7" t="s">
        <v>234</v>
      </c>
      <c r="B36" s="60" t="s">
        <v>189</v>
      </c>
      <c r="C36" s="60" t="s">
        <v>235</v>
      </c>
      <c r="D36" s="60" t="s">
        <v>169</v>
      </c>
      <c r="E36" s="60" t="s">
        <v>236</v>
      </c>
      <c r="F36" s="60" t="s">
        <v>183</v>
      </c>
      <c r="G36" s="60" t="s">
        <v>104</v>
      </c>
      <c r="H36" s="60">
        <v>5</v>
      </c>
      <c r="I36" s="60">
        <v>21</v>
      </c>
      <c r="J36" s="60">
        <v>25</v>
      </c>
      <c r="K36" s="12">
        <v>46335</v>
      </c>
      <c r="L36" s="12">
        <v>46479</v>
      </c>
      <c r="M36" s="60" t="s">
        <v>48</v>
      </c>
      <c r="N36" s="60" t="s">
        <v>48</v>
      </c>
      <c r="O36" s="60" t="s">
        <v>111</v>
      </c>
      <c r="P36" s="60" t="s">
        <v>105</v>
      </c>
      <c r="Q36" s="60"/>
      <c r="R36" s="60" t="s">
        <v>106</v>
      </c>
      <c r="S36" s="60" t="s">
        <v>237</v>
      </c>
      <c r="T36" s="13">
        <v>0</v>
      </c>
      <c r="U36" s="60"/>
      <c r="V36" s="60" t="s">
        <v>108</v>
      </c>
      <c r="W36" s="12"/>
      <c r="X36" s="12"/>
      <c r="Y36" s="12"/>
      <c r="Z36" s="35" t="str">
        <f t="shared" si="0"/>
        <v/>
      </c>
      <c r="AA36" s="60"/>
    </row>
    <row r="37" spans="1:27" ht="29" customHeight="1" x14ac:dyDescent="0.35">
      <c r="A37" s="7" t="s">
        <v>8</v>
      </c>
      <c r="B37" s="60" t="s">
        <v>238</v>
      </c>
      <c r="C37" s="60" t="s">
        <v>239</v>
      </c>
      <c r="D37" s="60" t="s">
        <v>142</v>
      </c>
      <c r="E37" s="60" t="s">
        <v>240</v>
      </c>
      <c r="F37" s="60" t="s">
        <v>241</v>
      </c>
      <c r="G37" s="60" t="s">
        <v>104</v>
      </c>
      <c r="H37" s="60">
        <v>3</v>
      </c>
      <c r="I37" s="60">
        <v>1</v>
      </c>
      <c r="J37" s="60">
        <v>3</v>
      </c>
      <c r="K37" s="12">
        <v>46321</v>
      </c>
      <c r="L37" s="12">
        <v>46325</v>
      </c>
      <c r="M37" s="60" t="s">
        <v>160</v>
      </c>
      <c r="N37" s="60" t="s">
        <v>160</v>
      </c>
      <c r="O37" s="60" t="s">
        <v>149</v>
      </c>
      <c r="P37" s="60" t="s">
        <v>105</v>
      </c>
      <c r="Q37" s="60"/>
      <c r="R37" s="60" t="s">
        <v>106</v>
      </c>
      <c r="S37" s="60" t="s">
        <v>242</v>
      </c>
      <c r="T37" s="13">
        <v>0</v>
      </c>
      <c r="U37" s="60"/>
      <c r="V37" s="60" t="s">
        <v>108</v>
      </c>
      <c r="W37" s="12"/>
      <c r="X37" s="12"/>
      <c r="Y37" s="12"/>
      <c r="Z37" s="35" t="str">
        <f t="shared" ref="Z37:Z68" si="1">IF(Y37&lt;&gt;"",Y37-L37,IF(X37&lt;&gt;"",X37-L37,""))</f>
        <v/>
      </c>
      <c r="AA37" s="60"/>
    </row>
    <row r="38" spans="1:27" ht="29" customHeight="1" x14ac:dyDescent="0.35">
      <c r="A38" s="7" t="s">
        <v>8</v>
      </c>
      <c r="B38" s="60" t="s">
        <v>238</v>
      </c>
      <c r="C38" s="60" t="s">
        <v>243</v>
      </c>
      <c r="D38" s="60" t="s">
        <v>142</v>
      </c>
      <c r="E38" s="60" t="s">
        <v>244</v>
      </c>
      <c r="F38" s="60" t="s">
        <v>241</v>
      </c>
      <c r="G38" s="60" t="s">
        <v>104</v>
      </c>
      <c r="H38" s="60">
        <v>3</v>
      </c>
      <c r="I38" s="60">
        <v>2</v>
      </c>
      <c r="J38" s="60">
        <v>4</v>
      </c>
      <c r="K38" s="12">
        <v>46321</v>
      </c>
      <c r="L38" s="12">
        <v>46332</v>
      </c>
      <c r="M38" s="60" t="s">
        <v>239</v>
      </c>
      <c r="N38" s="60" t="s">
        <v>239</v>
      </c>
      <c r="O38" s="60" t="s">
        <v>111</v>
      </c>
      <c r="P38" s="60" t="s">
        <v>105</v>
      </c>
      <c r="Q38" s="60"/>
      <c r="R38" s="60" t="s">
        <v>106</v>
      </c>
      <c r="S38" s="60" t="s">
        <v>245</v>
      </c>
      <c r="T38" s="13">
        <v>0</v>
      </c>
      <c r="U38" s="60"/>
      <c r="V38" s="60" t="s">
        <v>108</v>
      </c>
      <c r="W38" s="12"/>
      <c r="X38" s="12"/>
      <c r="Y38" s="12"/>
      <c r="Z38" s="35" t="str">
        <f t="shared" si="1"/>
        <v/>
      </c>
      <c r="AA38" s="60"/>
    </row>
    <row r="39" spans="1:27" ht="29" customHeight="1" x14ac:dyDescent="0.35">
      <c r="A39" s="7" t="s">
        <v>11</v>
      </c>
      <c r="B39" s="60" t="s">
        <v>238</v>
      </c>
      <c r="C39" s="60" t="s">
        <v>246</v>
      </c>
      <c r="D39" s="60" t="s">
        <v>142</v>
      </c>
      <c r="E39" s="60" t="s">
        <v>247</v>
      </c>
      <c r="F39" s="60" t="s">
        <v>248</v>
      </c>
      <c r="G39" s="60" t="s">
        <v>104</v>
      </c>
      <c r="H39" s="60">
        <v>5</v>
      </c>
      <c r="I39" s="60">
        <v>1</v>
      </c>
      <c r="J39" s="60">
        <v>5</v>
      </c>
      <c r="K39" s="12">
        <v>46335</v>
      </c>
      <c r="L39" s="12">
        <v>46339</v>
      </c>
      <c r="M39" s="60" t="s">
        <v>249</v>
      </c>
      <c r="N39" s="60" t="s">
        <v>48</v>
      </c>
      <c r="O39" s="60" t="s">
        <v>111</v>
      </c>
      <c r="P39" s="14" t="s">
        <v>201</v>
      </c>
      <c r="Q39" s="60"/>
      <c r="R39" s="60" t="s">
        <v>106</v>
      </c>
      <c r="S39" s="60" t="s">
        <v>250</v>
      </c>
      <c r="T39" s="13">
        <v>0</v>
      </c>
      <c r="U39" s="60"/>
      <c r="V39" s="60" t="s">
        <v>108</v>
      </c>
      <c r="W39" s="12"/>
      <c r="X39" s="12"/>
      <c r="Y39" s="12"/>
      <c r="Z39" s="35" t="str">
        <f t="shared" si="1"/>
        <v/>
      </c>
      <c r="AA39" s="60"/>
    </row>
    <row r="40" spans="1:27" ht="29" customHeight="1" x14ac:dyDescent="0.35">
      <c r="A40" s="7" t="s">
        <v>11</v>
      </c>
      <c r="B40" s="60" t="s">
        <v>238</v>
      </c>
      <c r="C40" s="60" t="s">
        <v>251</v>
      </c>
      <c r="D40" s="60" t="s">
        <v>156</v>
      </c>
      <c r="E40" s="60" t="s">
        <v>252</v>
      </c>
      <c r="F40" s="60" t="s">
        <v>158</v>
      </c>
      <c r="G40" s="60" t="s">
        <v>104</v>
      </c>
      <c r="H40" s="60">
        <v>5</v>
      </c>
      <c r="I40" s="60">
        <v>2</v>
      </c>
      <c r="J40" s="60">
        <v>6</v>
      </c>
      <c r="K40" s="12">
        <v>46335</v>
      </c>
      <c r="L40" s="12">
        <v>46346</v>
      </c>
      <c r="M40" s="60" t="s">
        <v>48</v>
      </c>
      <c r="N40" s="60" t="s">
        <v>48</v>
      </c>
      <c r="O40" s="60" t="s">
        <v>111</v>
      </c>
      <c r="P40" s="60" t="s">
        <v>105</v>
      </c>
      <c r="Q40" s="60"/>
      <c r="R40" s="60" t="s">
        <v>106</v>
      </c>
      <c r="S40" s="60" t="s">
        <v>253</v>
      </c>
      <c r="T40" s="13">
        <v>0</v>
      </c>
      <c r="U40" s="60"/>
      <c r="V40" s="60" t="s">
        <v>108</v>
      </c>
      <c r="W40" s="12"/>
      <c r="X40" s="12"/>
      <c r="Y40" s="12"/>
      <c r="Z40" s="35" t="str">
        <f t="shared" si="1"/>
        <v/>
      </c>
      <c r="AA40" s="60"/>
    </row>
    <row r="41" spans="1:27" ht="29" customHeight="1" x14ac:dyDescent="0.35">
      <c r="A41" s="7" t="s">
        <v>11</v>
      </c>
      <c r="B41" s="60" t="s">
        <v>238</v>
      </c>
      <c r="C41" s="60" t="s">
        <v>254</v>
      </c>
      <c r="D41" s="60" t="s">
        <v>255</v>
      </c>
      <c r="E41" s="60" t="s">
        <v>256</v>
      </c>
      <c r="F41" s="60" t="s">
        <v>257</v>
      </c>
      <c r="G41" s="60" t="s">
        <v>104</v>
      </c>
      <c r="H41" s="60">
        <v>5</v>
      </c>
      <c r="I41" s="60">
        <v>2</v>
      </c>
      <c r="J41" s="60">
        <v>6</v>
      </c>
      <c r="K41" s="12">
        <v>46335</v>
      </c>
      <c r="L41" s="12">
        <v>46346</v>
      </c>
      <c r="M41" s="60" t="s">
        <v>246</v>
      </c>
      <c r="N41" s="60" t="s">
        <v>246</v>
      </c>
      <c r="O41" s="60" t="s">
        <v>111</v>
      </c>
      <c r="P41" s="60" t="s">
        <v>105</v>
      </c>
      <c r="Q41" s="60"/>
      <c r="R41" s="60" t="s">
        <v>106</v>
      </c>
      <c r="S41" s="60" t="s">
        <v>258</v>
      </c>
      <c r="T41" s="13">
        <v>0</v>
      </c>
      <c r="U41" s="60"/>
      <c r="V41" s="60" t="s">
        <v>108</v>
      </c>
      <c r="W41" s="12"/>
      <c r="X41" s="12"/>
      <c r="Y41" s="12"/>
      <c r="Z41" s="35" t="str">
        <f t="shared" si="1"/>
        <v/>
      </c>
      <c r="AA41" s="60"/>
    </row>
    <row r="42" spans="1:27" ht="29" customHeight="1" x14ac:dyDescent="0.35">
      <c r="A42" s="7" t="s">
        <v>11</v>
      </c>
      <c r="B42" s="60" t="s">
        <v>238</v>
      </c>
      <c r="C42" s="60" t="s">
        <v>259</v>
      </c>
      <c r="D42" s="60" t="s">
        <v>255</v>
      </c>
      <c r="E42" s="60" t="s">
        <v>260</v>
      </c>
      <c r="F42" s="60" t="s">
        <v>261</v>
      </c>
      <c r="G42" s="60" t="s">
        <v>104</v>
      </c>
      <c r="H42" s="60">
        <v>5</v>
      </c>
      <c r="I42" s="60">
        <v>2</v>
      </c>
      <c r="J42" s="60">
        <v>6</v>
      </c>
      <c r="K42" s="12">
        <v>46335</v>
      </c>
      <c r="L42" s="12">
        <v>46346</v>
      </c>
      <c r="M42" s="60" t="s">
        <v>246</v>
      </c>
      <c r="N42" s="60" t="s">
        <v>246</v>
      </c>
      <c r="O42" s="60" t="s">
        <v>111</v>
      </c>
      <c r="P42" s="60" t="s">
        <v>105</v>
      </c>
      <c r="Q42" s="60"/>
      <c r="R42" s="60" t="s">
        <v>106</v>
      </c>
      <c r="S42" s="60" t="s">
        <v>262</v>
      </c>
      <c r="T42" s="13">
        <v>0</v>
      </c>
      <c r="U42" s="60"/>
      <c r="V42" s="60" t="s">
        <v>108</v>
      </c>
      <c r="W42" s="12"/>
      <c r="X42" s="12"/>
      <c r="Y42" s="12"/>
      <c r="Z42" s="35" t="str">
        <f t="shared" si="1"/>
        <v/>
      </c>
      <c r="AA42" s="60"/>
    </row>
    <row r="43" spans="1:27" ht="29" customHeight="1" x14ac:dyDescent="0.35">
      <c r="A43" s="7" t="s">
        <v>11</v>
      </c>
      <c r="B43" s="60" t="s">
        <v>238</v>
      </c>
      <c r="C43" s="60" t="s">
        <v>263</v>
      </c>
      <c r="D43" s="60" t="s">
        <v>174</v>
      </c>
      <c r="E43" s="60" t="s">
        <v>264</v>
      </c>
      <c r="F43" s="60" t="s">
        <v>176</v>
      </c>
      <c r="G43" s="60" t="s">
        <v>104</v>
      </c>
      <c r="H43" s="60">
        <v>6</v>
      </c>
      <c r="I43" s="60">
        <v>1</v>
      </c>
      <c r="J43" s="60">
        <v>6</v>
      </c>
      <c r="K43" s="12">
        <v>46342</v>
      </c>
      <c r="L43" s="12">
        <v>46346</v>
      </c>
      <c r="M43" s="60" t="s">
        <v>254</v>
      </c>
      <c r="N43" s="60" t="s">
        <v>254</v>
      </c>
      <c r="O43" s="60" t="s">
        <v>111</v>
      </c>
      <c r="P43" s="14" t="s">
        <v>201</v>
      </c>
      <c r="Q43" s="60"/>
      <c r="R43" s="60" t="s">
        <v>106</v>
      </c>
      <c r="S43" s="60" t="s">
        <v>265</v>
      </c>
      <c r="T43" s="13">
        <v>0</v>
      </c>
      <c r="U43" s="60"/>
      <c r="V43" s="60" t="s">
        <v>108</v>
      </c>
      <c r="W43" s="12"/>
      <c r="X43" s="12"/>
      <c r="Y43" s="12"/>
      <c r="Z43" s="35" t="str">
        <f t="shared" si="1"/>
        <v/>
      </c>
      <c r="AA43" s="60"/>
    </row>
    <row r="44" spans="1:27" ht="29" customHeight="1" x14ac:dyDescent="0.35">
      <c r="A44" s="15" t="s">
        <v>11</v>
      </c>
      <c r="B44" s="16" t="s">
        <v>238</v>
      </c>
      <c r="C44" s="16" t="s">
        <v>266</v>
      </c>
      <c r="D44" s="16" t="s">
        <v>101</v>
      </c>
      <c r="E44" s="16" t="s">
        <v>267</v>
      </c>
      <c r="F44" s="16" t="s">
        <v>54</v>
      </c>
      <c r="G44" s="16" t="s">
        <v>231</v>
      </c>
      <c r="H44" s="16">
        <v>6</v>
      </c>
      <c r="I44" s="16">
        <v>1</v>
      </c>
      <c r="J44" s="16">
        <v>6</v>
      </c>
      <c r="K44" s="17">
        <v>46342</v>
      </c>
      <c r="L44" s="17">
        <v>46346</v>
      </c>
      <c r="M44" s="16" t="s">
        <v>263</v>
      </c>
      <c r="N44" s="16" t="s">
        <v>263</v>
      </c>
      <c r="O44" s="16" t="s">
        <v>111</v>
      </c>
      <c r="P44" s="14" t="s">
        <v>201</v>
      </c>
      <c r="Q44" s="16"/>
      <c r="R44" s="16" t="s">
        <v>106</v>
      </c>
      <c r="S44" s="16" t="s">
        <v>268</v>
      </c>
      <c r="T44" s="18">
        <v>0</v>
      </c>
      <c r="U44" s="16"/>
      <c r="V44" s="60" t="s">
        <v>108</v>
      </c>
      <c r="W44" s="12"/>
      <c r="X44" s="12"/>
      <c r="Y44" s="12"/>
      <c r="Z44" s="35" t="str">
        <f t="shared" si="1"/>
        <v/>
      </c>
      <c r="AA44" s="60"/>
    </row>
    <row r="45" spans="1:27" ht="29" customHeight="1" x14ac:dyDescent="0.35">
      <c r="A45" s="7" t="s">
        <v>11</v>
      </c>
      <c r="B45" s="60" t="s">
        <v>238</v>
      </c>
      <c r="C45" s="60" t="s">
        <v>269</v>
      </c>
      <c r="D45" s="60" t="s">
        <v>174</v>
      </c>
      <c r="E45" s="60" t="s">
        <v>270</v>
      </c>
      <c r="F45" s="60" t="s">
        <v>271</v>
      </c>
      <c r="G45" s="60" t="s">
        <v>272</v>
      </c>
      <c r="H45" s="60">
        <v>7</v>
      </c>
      <c r="I45" s="60">
        <v>1</v>
      </c>
      <c r="J45" s="60">
        <v>7</v>
      </c>
      <c r="K45" s="12">
        <v>46349</v>
      </c>
      <c r="L45" s="12">
        <v>46353</v>
      </c>
      <c r="M45" s="60" t="s">
        <v>266</v>
      </c>
      <c r="N45" s="60" t="s">
        <v>266</v>
      </c>
      <c r="O45" s="60" t="s">
        <v>111</v>
      </c>
      <c r="P45" s="14" t="s">
        <v>201</v>
      </c>
      <c r="Q45" s="60" t="s">
        <v>273</v>
      </c>
      <c r="R45" s="60" t="s">
        <v>106</v>
      </c>
      <c r="S45" s="60" t="s">
        <v>274</v>
      </c>
      <c r="T45" s="13">
        <v>0</v>
      </c>
      <c r="U45" s="60"/>
      <c r="V45" s="60" t="s">
        <v>108</v>
      </c>
      <c r="W45" s="12"/>
      <c r="X45" s="12"/>
      <c r="Y45" s="12"/>
      <c r="Z45" s="35" t="str">
        <f t="shared" si="1"/>
        <v/>
      </c>
      <c r="AA45" s="60"/>
    </row>
    <row r="46" spans="1:27" ht="29" customHeight="1" x14ac:dyDescent="0.35">
      <c r="A46" s="7" t="s">
        <v>11</v>
      </c>
      <c r="B46" s="60" t="s">
        <v>238</v>
      </c>
      <c r="C46" s="60" t="s">
        <v>275</v>
      </c>
      <c r="D46" s="60" t="s">
        <v>174</v>
      </c>
      <c r="E46" s="60" t="s">
        <v>276</v>
      </c>
      <c r="F46" s="60" t="s">
        <v>271</v>
      </c>
      <c r="G46" s="60" t="s">
        <v>104</v>
      </c>
      <c r="H46" s="60">
        <v>7</v>
      </c>
      <c r="I46" s="60">
        <v>3</v>
      </c>
      <c r="J46" s="60">
        <v>9</v>
      </c>
      <c r="K46" s="12">
        <v>46349</v>
      </c>
      <c r="L46" s="12">
        <v>46367</v>
      </c>
      <c r="M46" s="60" t="s">
        <v>269</v>
      </c>
      <c r="N46" s="60" t="s">
        <v>269</v>
      </c>
      <c r="O46" s="60" t="s">
        <v>111</v>
      </c>
      <c r="P46" s="14" t="s">
        <v>201</v>
      </c>
      <c r="Q46" s="60"/>
      <c r="R46" s="60" t="s">
        <v>106</v>
      </c>
      <c r="S46" s="60" t="s">
        <v>277</v>
      </c>
      <c r="T46" s="13">
        <v>0</v>
      </c>
      <c r="U46" s="60"/>
      <c r="V46" s="60" t="s">
        <v>108</v>
      </c>
      <c r="W46" s="12"/>
      <c r="X46" s="12"/>
      <c r="Y46" s="12"/>
      <c r="Z46" s="35" t="str">
        <f t="shared" si="1"/>
        <v/>
      </c>
      <c r="AA46" s="60"/>
    </row>
    <row r="47" spans="1:27" ht="29" customHeight="1" x14ac:dyDescent="0.35">
      <c r="A47" s="7" t="s">
        <v>11</v>
      </c>
      <c r="B47" s="60" t="s">
        <v>238</v>
      </c>
      <c r="C47" s="60" t="s">
        <v>278</v>
      </c>
      <c r="D47" s="60" t="s">
        <v>174</v>
      </c>
      <c r="E47" s="60" t="s">
        <v>279</v>
      </c>
      <c r="F47" s="60" t="s">
        <v>280</v>
      </c>
      <c r="G47" s="60" t="s">
        <v>281</v>
      </c>
      <c r="H47" s="60">
        <v>8</v>
      </c>
      <c r="I47" s="60">
        <v>1</v>
      </c>
      <c r="J47" s="60">
        <v>8</v>
      </c>
      <c r="K47" s="12">
        <v>46356</v>
      </c>
      <c r="L47" s="12">
        <v>46360</v>
      </c>
      <c r="M47" s="60" t="s">
        <v>269</v>
      </c>
      <c r="N47" s="60" t="s">
        <v>269</v>
      </c>
      <c r="O47" s="60" t="s">
        <v>111</v>
      </c>
      <c r="P47" s="14" t="s">
        <v>201</v>
      </c>
      <c r="Q47" s="60" t="s">
        <v>273</v>
      </c>
      <c r="R47" s="60" t="s">
        <v>106</v>
      </c>
      <c r="S47" s="60" t="s">
        <v>282</v>
      </c>
      <c r="T47" s="13">
        <v>0</v>
      </c>
      <c r="U47" s="60"/>
      <c r="V47" s="60" t="s">
        <v>108</v>
      </c>
      <c r="W47" s="12"/>
      <c r="X47" s="12"/>
      <c r="Y47" s="12"/>
      <c r="Z47" s="35" t="str">
        <f t="shared" si="1"/>
        <v/>
      </c>
      <c r="AA47" s="60"/>
    </row>
    <row r="48" spans="1:27" ht="29" customHeight="1" x14ac:dyDescent="0.35">
      <c r="A48" s="7" t="s">
        <v>11</v>
      </c>
      <c r="B48" s="60" t="s">
        <v>238</v>
      </c>
      <c r="C48" s="60" t="s">
        <v>283</v>
      </c>
      <c r="D48" s="60" t="s">
        <v>101</v>
      </c>
      <c r="E48" s="60" t="s">
        <v>284</v>
      </c>
      <c r="F48" s="60" t="s">
        <v>103</v>
      </c>
      <c r="G48" s="60" t="s">
        <v>104</v>
      </c>
      <c r="H48" s="60">
        <v>9</v>
      </c>
      <c r="I48" s="60">
        <v>1</v>
      </c>
      <c r="J48" s="60">
        <v>9</v>
      </c>
      <c r="K48" s="12">
        <v>46363</v>
      </c>
      <c r="L48" s="12">
        <v>46367</v>
      </c>
      <c r="M48" s="60" t="s">
        <v>275</v>
      </c>
      <c r="N48" s="60" t="s">
        <v>275</v>
      </c>
      <c r="O48" s="60" t="s">
        <v>149</v>
      </c>
      <c r="P48" s="60" t="s">
        <v>105</v>
      </c>
      <c r="Q48" s="60"/>
      <c r="R48" s="60" t="s">
        <v>106</v>
      </c>
      <c r="S48" s="60" t="s">
        <v>285</v>
      </c>
      <c r="T48" s="13">
        <v>0</v>
      </c>
      <c r="U48" s="60"/>
      <c r="V48" s="60" t="s">
        <v>108</v>
      </c>
      <c r="W48" s="12"/>
      <c r="X48" s="12"/>
      <c r="Y48" s="12"/>
      <c r="Z48" s="35" t="str">
        <f t="shared" si="1"/>
        <v/>
      </c>
      <c r="AA48" s="60"/>
    </row>
    <row r="49" spans="1:27" ht="29" customHeight="1" x14ac:dyDescent="0.35">
      <c r="A49" s="15" t="s">
        <v>11</v>
      </c>
      <c r="B49" s="16" t="s">
        <v>238</v>
      </c>
      <c r="C49" s="16" t="s">
        <v>53</v>
      </c>
      <c r="D49" s="16" t="s">
        <v>101</v>
      </c>
      <c r="E49" s="16" t="s">
        <v>286</v>
      </c>
      <c r="F49" s="16" t="s">
        <v>54</v>
      </c>
      <c r="G49" s="16" t="s">
        <v>231</v>
      </c>
      <c r="H49" s="16">
        <v>9</v>
      </c>
      <c r="I49" s="16">
        <v>1</v>
      </c>
      <c r="J49" s="16">
        <v>9</v>
      </c>
      <c r="K49" s="17">
        <v>46363</v>
      </c>
      <c r="L49" s="17">
        <v>46367</v>
      </c>
      <c r="M49" s="16" t="s">
        <v>287</v>
      </c>
      <c r="N49" s="16" t="s">
        <v>283</v>
      </c>
      <c r="O49" s="16" t="s">
        <v>111</v>
      </c>
      <c r="P49" s="14" t="s">
        <v>201</v>
      </c>
      <c r="Q49" s="16"/>
      <c r="R49" s="16" t="s">
        <v>106</v>
      </c>
      <c r="S49" s="16" t="s">
        <v>288</v>
      </c>
      <c r="T49" s="18">
        <v>0</v>
      </c>
      <c r="U49" s="16"/>
      <c r="V49" s="60" t="s">
        <v>108</v>
      </c>
      <c r="W49" s="12"/>
      <c r="X49" s="12"/>
      <c r="Y49" s="12"/>
      <c r="Z49" s="35" t="str">
        <f t="shared" si="1"/>
        <v/>
      </c>
      <c r="AA49" s="60"/>
    </row>
    <row r="50" spans="1:27" ht="29" customHeight="1" x14ac:dyDescent="0.35">
      <c r="A50" s="7" t="s">
        <v>289</v>
      </c>
      <c r="B50" s="60" t="s">
        <v>290</v>
      </c>
      <c r="C50" s="60" t="s">
        <v>291</v>
      </c>
      <c r="D50" s="60" t="s">
        <v>142</v>
      </c>
      <c r="E50" s="60" t="s">
        <v>292</v>
      </c>
      <c r="F50" s="60" t="s">
        <v>241</v>
      </c>
      <c r="G50" s="60" t="s">
        <v>104</v>
      </c>
      <c r="H50" s="60">
        <v>3</v>
      </c>
      <c r="I50" s="60">
        <v>3</v>
      </c>
      <c r="J50" s="60">
        <v>5</v>
      </c>
      <c r="K50" s="12">
        <v>46321</v>
      </c>
      <c r="L50" s="12">
        <v>46339</v>
      </c>
      <c r="M50" s="60" t="s">
        <v>160</v>
      </c>
      <c r="N50" s="60" t="s">
        <v>160</v>
      </c>
      <c r="O50" s="60" t="s">
        <v>149</v>
      </c>
      <c r="P50" s="60" t="s">
        <v>105</v>
      </c>
      <c r="Q50" s="60"/>
      <c r="R50" s="60" t="s">
        <v>106</v>
      </c>
      <c r="S50" s="60" t="s">
        <v>293</v>
      </c>
      <c r="T50" s="13">
        <v>0</v>
      </c>
      <c r="U50" s="60"/>
      <c r="V50" s="60" t="s">
        <v>108</v>
      </c>
      <c r="W50" s="12"/>
      <c r="X50" s="12"/>
      <c r="Y50" s="12"/>
      <c r="Z50" s="35" t="str">
        <f t="shared" si="1"/>
        <v/>
      </c>
      <c r="AA50" s="60"/>
    </row>
    <row r="51" spans="1:27" ht="29" customHeight="1" x14ac:dyDescent="0.35">
      <c r="A51" s="7" t="s">
        <v>11</v>
      </c>
      <c r="B51" s="60" t="s">
        <v>290</v>
      </c>
      <c r="C51" s="60" t="s">
        <v>294</v>
      </c>
      <c r="D51" s="60" t="s">
        <v>142</v>
      </c>
      <c r="E51" s="60" t="s">
        <v>295</v>
      </c>
      <c r="F51" s="60" t="s">
        <v>248</v>
      </c>
      <c r="G51" s="60" t="s">
        <v>104</v>
      </c>
      <c r="H51" s="60">
        <v>5</v>
      </c>
      <c r="I51" s="60">
        <v>2</v>
      </c>
      <c r="J51" s="60">
        <v>6</v>
      </c>
      <c r="K51" s="12">
        <v>46335</v>
      </c>
      <c r="L51" s="12">
        <v>46346</v>
      </c>
      <c r="M51" s="60" t="s">
        <v>296</v>
      </c>
      <c r="N51" s="60" t="s">
        <v>291</v>
      </c>
      <c r="O51" s="60" t="s">
        <v>111</v>
      </c>
      <c r="P51" s="60" t="s">
        <v>105</v>
      </c>
      <c r="Q51" s="60"/>
      <c r="R51" s="60" t="s">
        <v>106</v>
      </c>
      <c r="S51" s="60" t="s">
        <v>297</v>
      </c>
      <c r="T51" s="13">
        <v>0</v>
      </c>
      <c r="U51" s="60"/>
      <c r="V51" s="60" t="s">
        <v>108</v>
      </c>
      <c r="W51" s="12"/>
      <c r="X51" s="12"/>
      <c r="Y51" s="12"/>
      <c r="Z51" s="35" t="str">
        <f t="shared" si="1"/>
        <v/>
      </c>
      <c r="AA51" s="60"/>
    </row>
    <row r="52" spans="1:27" ht="29" customHeight="1" x14ac:dyDescent="0.35">
      <c r="A52" s="7" t="s">
        <v>11</v>
      </c>
      <c r="B52" s="60" t="s">
        <v>290</v>
      </c>
      <c r="C52" s="60" t="s">
        <v>298</v>
      </c>
      <c r="D52" s="60" t="s">
        <v>156</v>
      </c>
      <c r="E52" s="60" t="s">
        <v>299</v>
      </c>
      <c r="F52" s="60" t="s">
        <v>158</v>
      </c>
      <c r="G52" s="60" t="s">
        <v>104</v>
      </c>
      <c r="H52" s="60">
        <v>5</v>
      </c>
      <c r="I52" s="60">
        <v>3</v>
      </c>
      <c r="J52" s="60">
        <v>7</v>
      </c>
      <c r="K52" s="12">
        <v>46335</v>
      </c>
      <c r="L52" s="12">
        <v>46353</v>
      </c>
      <c r="M52" s="60" t="s">
        <v>48</v>
      </c>
      <c r="N52" s="60" t="s">
        <v>48</v>
      </c>
      <c r="O52" s="60" t="s">
        <v>111</v>
      </c>
      <c r="P52" s="60" t="s">
        <v>105</v>
      </c>
      <c r="Q52" s="60"/>
      <c r="R52" s="60" t="s">
        <v>106</v>
      </c>
      <c r="S52" s="60" t="s">
        <v>253</v>
      </c>
      <c r="T52" s="13">
        <v>0</v>
      </c>
      <c r="U52" s="60"/>
      <c r="V52" s="60" t="s">
        <v>108</v>
      </c>
      <c r="W52" s="12"/>
      <c r="X52" s="12"/>
      <c r="Y52" s="12"/>
      <c r="Z52" s="35" t="str">
        <f t="shared" si="1"/>
        <v/>
      </c>
      <c r="AA52" s="60"/>
    </row>
    <row r="53" spans="1:27" ht="29" customHeight="1" x14ac:dyDescent="0.35">
      <c r="A53" s="7" t="s">
        <v>11</v>
      </c>
      <c r="B53" s="60" t="s">
        <v>290</v>
      </c>
      <c r="C53" s="60" t="s">
        <v>300</v>
      </c>
      <c r="D53" s="60" t="s">
        <v>255</v>
      </c>
      <c r="E53" s="60" t="s">
        <v>301</v>
      </c>
      <c r="F53" s="60" t="s">
        <v>257</v>
      </c>
      <c r="G53" s="60" t="s">
        <v>104</v>
      </c>
      <c r="H53" s="60">
        <v>6</v>
      </c>
      <c r="I53" s="60">
        <v>2</v>
      </c>
      <c r="J53" s="60">
        <v>7</v>
      </c>
      <c r="K53" s="12">
        <v>46342</v>
      </c>
      <c r="L53" s="12">
        <v>46353</v>
      </c>
      <c r="M53" s="60" t="s">
        <v>294</v>
      </c>
      <c r="N53" s="60" t="s">
        <v>294</v>
      </c>
      <c r="O53" s="60" t="s">
        <v>111</v>
      </c>
      <c r="P53" s="60" t="s">
        <v>105</v>
      </c>
      <c r="Q53" s="60"/>
      <c r="R53" s="60" t="s">
        <v>106</v>
      </c>
      <c r="S53" s="60" t="s">
        <v>302</v>
      </c>
      <c r="T53" s="13">
        <v>0</v>
      </c>
      <c r="U53" s="60"/>
      <c r="V53" s="60" t="s">
        <v>108</v>
      </c>
      <c r="W53" s="12"/>
      <c r="X53" s="12"/>
      <c r="Y53" s="12"/>
      <c r="Z53" s="35" t="str">
        <f t="shared" si="1"/>
        <v/>
      </c>
      <c r="AA53" s="60"/>
    </row>
    <row r="54" spans="1:27" ht="29" customHeight="1" x14ac:dyDescent="0.35">
      <c r="A54" s="7" t="s">
        <v>11</v>
      </c>
      <c r="B54" s="60" t="s">
        <v>290</v>
      </c>
      <c r="C54" s="60" t="s">
        <v>303</v>
      </c>
      <c r="D54" s="60" t="s">
        <v>156</v>
      </c>
      <c r="E54" s="60" t="s">
        <v>304</v>
      </c>
      <c r="F54" s="60" t="s">
        <v>158</v>
      </c>
      <c r="G54" s="60" t="s">
        <v>104</v>
      </c>
      <c r="H54" s="60">
        <v>7</v>
      </c>
      <c r="I54" s="60">
        <v>2</v>
      </c>
      <c r="J54" s="60">
        <v>8</v>
      </c>
      <c r="K54" s="12">
        <v>46349</v>
      </c>
      <c r="L54" s="12">
        <v>46360</v>
      </c>
      <c r="M54" s="60" t="s">
        <v>298</v>
      </c>
      <c r="N54" s="60" t="s">
        <v>298</v>
      </c>
      <c r="O54" s="60" t="s">
        <v>111</v>
      </c>
      <c r="P54" s="60" t="s">
        <v>105</v>
      </c>
      <c r="Q54" s="60"/>
      <c r="R54" s="60" t="s">
        <v>106</v>
      </c>
      <c r="S54" s="60" t="s">
        <v>305</v>
      </c>
      <c r="T54" s="13">
        <v>0</v>
      </c>
      <c r="U54" s="60"/>
      <c r="V54" s="60" t="s">
        <v>108</v>
      </c>
      <c r="W54" s="12"/>
      <c r="X54" s="12"/>
      <c r="Y54" s="12"/>
      <c r="Z54" s="35" t="str">
        <f t="shared" si="1"/>
        <v/>
      </c>
      <c r="AA54" s="60"/>
    </row>
    <row r="55" spans="1:27" ht="29" customHeight="1" x14ac:dyDescent="0.35">
      <c r="A55" s="7" t="s">
        <v>11</v>
      </c>
      <c r="B55" s="60" t="s">
        <v>290</v>
      </c>
      <c r="C55" s="60" t="s">
        <v>306</v>
      </c>
      <c r="D55" s="60" t="s">
        <v>101</v>
      </c>
      <c r="E55" s="60" t="s">
        <v>307</v>
      </c>
      <c r="F55" s="60" t="s">
        <v>308</v>
      </c>
      <c r="G55" s="60" t="s">
        <v>104</v>
      </c>
      <c r="H55" s="60">
        <v>9</v>
      </c>
      <c r="I55" s="60">
        <v>1</v>
      </c>
      <c r="J55" s="60">
        <v>9</v>
      </c>
      <c r="K55" s="12">
        <v>46363</v>
      </c>
      <c r="L55" s="12">
        <v>46367</v>
      </c>
      <c r="M55" s="60" t="s">
        <v>283</v>
      </c>
      <c r="N55" s="60" t="s">
        <v>283</v>
      </c>
      <c r="O55" s="60" t="s">
        <v>149</v>
      </c>
      <c r="P55" s="60" t="s">
        <v>105</v>
      </c>
      <c r="Q55" s="60"/>
      <c r="R55" s="60" t="s">
        <v>106</v>
      </c>
      <c r="S55" s="60" t="s">
        <v>309</v>
      </c>
      <c r="T55" s="13">
        <v>0</v>
      </c>
      <c r="U55" s="60"/>
      <c r="V55" s="60" t="s">
        <v>108</v>
      </c>
      <c r="W55" s="12"/>
      <c r="X55" s="12"/>
      <c r="Y55" s="12"/>
      <c r="Z55" s="35" t="str">
        <f t="shared" si="1"/>
        <v/>
      </c>
      <c r="AA55" s="60"/>
    </row>
    <row r="56" spans="1:27" ht="29" customHeight="1" x14ac:dyDescent="0.35">
      <c r="A56" s="7" t="s">
        <v>11</v>
      </c>
      <c r="B56" s="60" t="s">
        <v>290</v>
      </c>
      <c r="C56" s="60" t="s">
        <v>310</v>
      </c>
      <c r="D56" s="60" t="s">
        <v>174</v>
      </c>
      <c r="E56" s="60" t="s">
        <v>311</v>
      </c>
      <c r="F56" s="60" t="s">
        <v>176</v>
      </c>
      <c r="G56" s="60" t="s">
        <v>104</v>
      </c>
      <c r="H56" s="60">
        <v>8</v>
      </c>
      <c r="I56" s="60">
        <v>1</v>
      </c>
      <c r="J56" s="60">
        <v>8</v>
      </c>
      <c r="K56" s="12">
        <v>46356</v>
      </c>
      <c r="L56" s="12">
        <v>46360</v>
      </c>
      <c r="M56" s="60" t="s">
        <v>300</v>
      </c>
      <c r="N56" s="60" t="s">
        <v>300</v>
      </c>
      <c r="O56" s="60" t="s">
        <v>111</v>
      </c>
      <c r="P56" s="14" t="s">
        <v>201</v>
      </c>
      <c r="Q56" s="60"/>
      <c r="R56" s="60" t="s">
        <v>106</v>
      </c>
      <c r="S56" s="60" t="s">
        <v>265</v>
      </c>
      <c r="T56" s="13">
        <v>0</v>
      </c>
      <c r="U56" s="60"/>
      <c r="V56" s="60" t="s">
        <v>108</v>
      </c>
      <c r="W56" s="12"/>
      <c r="X56" s="12"/>
      <c r="Y56" s="12"/>
      <c r="Z56" s="35" t="str">
        <f t="shared" si="1"/>
        <v/>
      </c>
      <c r="AA56" s="60"/>
    </row>
    <row r="57" spans="1:27" ht="29" customHeight="1" x14ac:dyDescent="0.35">
      <c r="A57" s="15" t="s">
        <v>11</v>
      </c>
      <c r="B57" s="16" t="s">
        <v>290</v>
      </c>
      <c r="C57" s="16" t="s">
        <v>312</v>
      </c>
      <c r="D57" s="16" t="s">
        <v>101</v>
      </c>
      <c r="E57" s="16" t="s">
        <v>313</v>
      </c>
      <c r="F57" s="16" t="s">
        <v>314</v>
      </c>
      <c r="G57" s="16" t="s">
        <v>231</v>
      </c>
      <c r="H57" s="16">
        <v>9</v>
      </c>
      <c r="I57" s="16">
        <v>1</v>
      </c>
      <c r="J57" s="16">
        <v>9</v>
      </c>
      <c r="K57" s="17">
        <v>46363</v>
      </c>
      <c r="L57" s="17">
        <v>46367</v>
      </c>
      <c r="M57" s="16" t="s">
        <v>315</v>
      </c>
      <c r="N57" s="16" t="s">
        <v>310</v>
      </c>
      <c r="O57" s="16" t="s">
        <v>111</v>
      </c>
      <c r="P57" s="14" t="s">
        <v>201</v>
      </c>
      <c r="Q57" s="16"/>
      <c r="R57" s="16" t="s">
        <v>106</v>
      </c>
      <c r="S57" s="16" t="s">
        <v>316</v>
      </c>
      <c r="T57" s="18">
        <v>0</v>
      </c>
      <c r="U57" s="16"/>
      <c r="V57" s="60" t="s">
        <v>108</v>
      </c>
      <c r="W57" s="12"/>
      <c r="X57" s="12"/>
      <c r="Y57" s="12"/>
      <c r="Z57" s="35" t="str">
        <f t="shared" si="1"/>
        <v/>
      </c>
      <c r="AA57" s="60"/>
    </row>
    <row r="58" spans="1:27" ht="29" customHeight="1" x14ac:dyDescent="0.35">
      <c r="A58" s="7" t="s">
        <v>13</v>
      </c>
      <c r="B58" s="60" t="s">
        <v>290</v>
      </c>
      <c r="C58" s="60" t="s">
        <v>317</v>
      </c>
      <c r="D58" s="60" t="s">
        <v>174</v>
      </c>
      <c r="E58" s="60" t="s">
        <v>318</v>
      </c>
      <c r="F58" s="60" t="s">
        <v>271</v>
      </c>
      <c r="G58" s="60" t="s">
        <v>272</v>
      </c>
      <c r="H58" s="60">
        <v>10</v>
      </c>
      <c r="I58" s="60">
        <v>1</v>
      </c>
      <c r="J58" s="60">
        <v>10</v>
      </c>
      <c r="K58" s="12">
        <v>46370</v>
      </c>
      <c r="L58" s="12">
        <v>46374</v>
      </c>
      <c r="M58" s="60" t="s">
        <v>319</v>
      </c>
      <c r="N58" s="60" t="s">
        <v>312</v>
      </c>
      <c r="O58" s="60" t="s">
        <v>111</v>
      </c>
      <c r="P58" s="14" t="s">
        <v>201</v>
      </c>
      <c r="Q58" s="60" t="s">
        <v>273</v>
      </c>
      <c r="R58" s="60" t="s">
        <v>106</v>
      </c>
      <c r="S58" s="60" t="s">
        <v>320</v>
      </c>
      <c r="T58" s="13">
        <v>0</v>
      </c>
      <c r="U58" s="60"/>
      <c r="V58" s="60" t="s">
        <v>108</v>
      </c>
      <c r="W58" s="12"/>
      <c r="X58" s="12"/>
      <c r="Y58" s="12"/>
      <c r="Z58" s="35" t="str">
        <f t="shared" si="1"/>
        <v/>
      </c>
      <c r="AA58" s="60"/>
    </row>
    <row r="59" spans="1:27" ht="29" customHeight="1" x14ac:dyDescent="0.35">
      <c r="A59" s="7" t="s">
        <v>13</v>
      </c>
      <c r="B59" s="60" t="s">
        <v>290</v>
      </c>
      <c r="C59" s="60" t="s">
        <v>321</v>
      </c>
      <c r="D59" s="60" t="s">
        <v>174</v>
      </c>
      <c r="E59" s="60" t="s">
        <v>322</v>
      </c>
      <c r="F59" s="60" t="s">
        <v>271</v>
      </c>
      <c r="G59" s="60" t="s">
        <v>104</v>
      </c>
      <c r="H59" s="60">
        <v>11</v>
      </c>
      <c r="I59" s="60">
        <v>3</v>
      </c>
      <c r="J59" s="60">
        <v>13</v>
      </c>
      <c r="K59" s="12">
        <v>46377</v>
      </c>
      <c r="L59" s="12">
        <v>46395</v>
      </c>
      <c r="M59" s="60" t="s">
        <v>317</v>
      </c>
      <c r="N59" s="60" t="s">
        <v>317</v>
      </c>
      <c r="O59" s="60" t="s">
        <v>111</v>
      </c>
      <c r="P59" s="14" t="s">
        <v>201</v>
      </c>
      <c r="Q59" s="60"/>
      <c r="R59" s="60" t="s">
        <v>106</v>
      </c>
      <c r="S59" s="60" t="s">
        <v>323</v>
      </c>
      <c r="T59" s="13">
        <v>0</v>
      </c>
      <c r="U59" s="60"/>
      <c r="V59" s="60" t="s">
        <v>108</v>
      </c>
      <c r="W59" s="12"/>
      <c r="X59" s="12"/>
      <c r="Y59" s="12"/>
      <c r="Z59" s="35" t="str">
        <f t="shared" si="1"/>
        <v/>
      </c>
      <c r="AA59" s="60"/>
    </row>
    <row r="60" spans="1:27" ht="29" customHeight="1" x14ac:dyDescent="0.35">
      <c r="A60" s="7" t="s">
        <v>13</v>
      </c>
      <c r="B60" s="60" t="s">
        <v>290</v>
      </c>
      <c r="C60" s="60" t="s">
        <v>324</v>
      </c>
      <c r="D60" s="60" t="s">
        <v>174</v>
      </c>
      <c r="E60" s="60" t="s">
        <v>325</v>
      </c>
      <c r="F60" s="60" t="s">
        <v>280</v>
      </c>
      <c r="G60" s="60" t="s">
        <v>281</v>
      </c>
      <c r="H60" s="60">
        <v>13</v>
      </c>
      <c r="I60" s="60">
        <v>1</v>
      </c>
      <c r="J60" s="60">
        <v>13</v>
      </c>
      <c r="K60" s="12">
        <v>46391</v>
      </c>
      <c r="L60" s="12">
        <v>46395</v>
      </c>
      <c r="M60" s="60" t="s">
        <v>321</v>
      </c>
      <c r="N60" s="60" t="s">
        <v>321</v>
      </c>
      <c r="O60" s="60" t="s">
        <v>111</v>
      </c>
      <c r="P60" s="14" t="s">
        <v>201</v>
      </c>
      <c r="Q60" s="60" t="s">
        <v>273</v>
      </c>
      <c r="R60" s="60" t="s">
        <v>106</v>
      </c>
      <c r="S60" s="60" t="s">
        <v>282</v>
      </c>
      <c r="T60" s="13">
        <v>0</v>
      </c>
      <c r="U60" s="60"/>
      <c r="V60" s="60" t="s">
        <v>108</v>
      </c>
      <c r="W60" s="12"/>
      <c r="X60" s="12"/>
      <c r="Y60" s="12"/>
      <c r="Z60" s="35" t="str">
        <f t="shared" si="1"/>
        <v/>
      </c>
      <c r="AA60" s="60"/>
    </row>
    <row r="61" spans="1:27" ht="29" customHeight="1" x14ac:dyDescent="0.35">
      <c r="A61" s="7" t="s">
        <v>13</v>
      </c>
      <c r="B61" s="60" t="s">
        <v>290</v>
      </c>
      <c r="C61" s="60" t="s">
        <v>326</v>
      </c>
      <c r="D61" s="60" t="s">
        <v>174</v>
      </c>
      <c r="E61" s="60" t="s">
        <v>327</v>
      </c>
      <c r="F61" s="60" t="s">
        <v>308</v>
      </c>
      <c r="G61" s="60" t="s">
        <v>104</v>
      </c>
      <c r="H61" s="60">
        <v>13</v>
      </c>
      <c r="I61" s="60">
        <v>1</v>
      </c>
      <c r="J61" s="60">
        <v>13</v>
      </c>
      <c r="K61" s="12">
        <v>46391</v>
      </c>
      <c r="L61" s="12">
        <v>46395</v>
      </c>
      <c r="M61" s="60" t="s">
        <v>321</v>
      </c>
      <c r="N61" s="60" t="s">
        <v>321</v>
      </c>
      <c r="O61" s="60" t="s">
        <v>111</v>
      </c>
      <c r="P61" s="60" t="s">
        <v>105</v>
      </c>
      <c r="Q61" s="60"/>
      <c r="R61" s="60" t="s">
        <v>106</v>
      </c>
      <c r="S61" s="60" t="s">
        <v>328</v>
      </c>
      <c r="T61" s="13">
        <v>0</v>
      </c>
      <c r="U61" s="60"/>
      <c r="V61" s="60" t="s">
        <v>108</v>
      </c>
      <c r="W61" s="12"/>
      <c r="X61" s="12"/>
      <c r="Y61" s="12"/>
      <c r="Z61" s="35" t="str">
        <f t="shared" si="1"/>
        <v/>
      </c>
      <c r="AA61" s="60"/>
    </row>
    <row r="62" spans="1:27" ht="29" customHeight="1" x14ac:dyDescent="0.35">
      <c r="A62" s="15" t="s">
        <v>13</v>
      </c>
      <c r="B62" s="16" t="s">
        <v>290</v>
      </c>
      <c r="C62" s="16" t="s">
        <v>58</v>
      </c>
      <c r="D62" s="16" t="s">
        <v>101</v>
      </c>
      <c r="E62" s="16" t="s">
        <v>329</v>
      </c>
      <c r="F62" s="16" t="s">
        <v>330</v>
      </c>
      <c r="G62" s="16" t="s">
        <v>231</v>
      </c>
      <c r="H62" s="16">
        <v>13</v>
      </c>
      <c r="I62" s="16">
        <v>1</v>
      </c>
      <c r="J62" s="16">
        <v>13</v>
      </c>
      <c r="K62" s="17">
        <v>46391</v>
      </c>
      <c r="L62" s="17">
        <v>46395</v>
      </c>
      <c r="M62" s="16" t="s">
        <v>331</v>
      </c>
      <c r="N62" s="16" t="s">
        <v>326</v>
      </c>
      <c r="O62" s="16" t="s">
        <v>111</v>
      </c>
      <c r="P62" s="14" t="s">
        <v>201</v>
      </c>
      <c r="Q62" s="16"/>
      <c r="R62" s="16" t="s">
        <v>106</v>
      </c>
      <c r="S62" s="16" t="s">
        <v>332</v>
      </c>
      <c r="T62" s="18">
        <v>0</v>
      </c>
      <c r="U62" s="16"/>
      <c r="V62" s="60" t="s">
        <v>108</v>
      </c>
      <c r="W62" s="12"/>
      <c r="X62" s="12"/>
      <c r="Y62" s="12"/>
      <c r="Z62" s="35" t="str">
        <f t="shared" si="1"/>
        <v/>
      </c>
      <c r="AA62" s="60"/>
    </row>
    <row r="63" spans="1:27" ht="29" customHeight="1" x14ac:dyDescent="0.35">
      <c r="A63" s="7" t="s">
        <v>15</v>
      </c>
      <c r="B63" s="60" t="s">
        <v>290</v>
      </c>
      <c r="C63" s="60" t="s">
        <v>333</v>
      </c>
      <c r="D63" s="60" t="s">
        <v>169</v>
      </c>
      <c r="E63" s="60" t="s">
        <v>334</v>
      </c>
      <c r="F63" s="60" t="s">
        <v>248</v>
      </c>
      <c r="G63" s="60" t="s">
        <v>104</v>
      </c>
      <c r="H63" s="60">
        <v>14</v>
      </c>
      <c r="I63" s="60">
        <v>2</v>
      </c>
      <c r="J63" s="60">
        <v>15</v>
      </c>
      <c r="K63" s="12">
        <v>46398</v>
      </c>
      <c r="L63" s="12">
        <v>46409</v>
      </c>
      <c r="M63" s="60" t="s">
        <v>58</v>
      </c>
      <c r="N63" s="60" t="s">
        <v>58</v>
      </c>
      <c r="O63" s="60" t="s">
        <v>111</v>
      </c>
      <c r="P63" s="60" t="s">
        <v>105</v>
      </c>
      <c r="Q63" s="60"/>
      <c r="R63" s="60" t="s">
        <v>106</v>
      </c>
      <c r="S63" s="60" t="s">
        <v>335</v>
      </c>
      <c r="T63" s="13">
        <v>0</v>
      </c>
      <c r="U63" s="60"/>
      <c r="V63" s="60" t="s">
        <v>108</v>
      </c>
      <c r="W63" s="12"/>
      <c r="X63" s="12"/>
      <c r="Y63" s="12"/>
      <c r="Z63" s="35" t="str">
        <f t="shared" si="1"/>
        <v/>
      </c>
      <c r="AA63" s="60"/>
    </row>
    <row r="64" spans="1:27" ht="29" customHeight="1" x14ac:dyDescent="0.35">
      <c r="A64" s="7" t="s">
        <v>11</v>
      </c>
      <c r="B64" s="60" t="s">
        <v>336</v>
      </c>
      <c r="C64" s="60" t="s">
        <v>337</v>
      </c>
      <c r="D64" s="60" t="s">
        <v>142</v>
      </c>
      <c r="E64" s="60" t="s">
        <v>338</v>
      </c>
      <c r="F64" s="60" t="s">
        <v>339</v>
      </c>
      <c r="G64" s="60" t="s">
        <v>104</v>
      </c>
      <c r="H64" s="60">
        <v>5</v>
      </c>
      <c r="I64" s="60">
        <v>3</v>
      </c>
      <c r="J64" s="60">
        <v>7</v>
      </c>
      <c r="K64" s="12">
        <v>46335</v>
      </c>
      <c r="L64" s="12">
        <v>46353</v>
      </c>
      <c r="M64" s="60" t="s">
        <v>178</v>
      </c>
      <c r="N64" s="60" t="s">
        <v>178</v>
      </c>
      <c r="O64" s="60" t="s">
        <v>111</v>
      </c>
      <c r="P64" s="60" t="s">
        <v>105</v>
      </c>
      <c r="Q64" s="60"/>
      <c r="R64" s="60" t="s">
        <v>106</v>
      </c>
      <c r="S64" s="60" t="s">
        <v>340</v>
      </c>
      <c r="T64" s="13">
        <v>0</v>
      </c>
      <c r="U64" s="60"/>
      <c r="V64" s="60" t="s">
        <v>108</v>
      </c>
      <c r="W64" s="12"/>
      <c r="X64" s="12"/>
      <c r="Y64" s="12"/>
      <c r="Z64" s="35" t="str">
        <f t="shared" si="1"/>
        <v/>
      </c>
      <c r="AA64" s="60"/>
    </row>
    <row r="65" spans="1:27" ht="29" customHeight="1" x14ac:dyDescent="0.35">
      <c r="A65" s="7" t="s">
        <v>11</v>
      </c>
      <c r="B65" s="60" t="s">
        <v>336</v>
      </c>
      <c r="C65" s="60" t="s">
        <v>341</v>
      </c>
      <c r="D65" s="60" t="s">
        <v>142</v>
      </c>
      <c r="E65" s="60" t="s">
        <v>342</v>
      </c>
      <c r="F65" s="60" t="s">
        <v>241</v>
      </c>
      <c r="G65" s="60" t="s">
        <v>104</v>
      </c>
      <c r="H65" s="60">
        <v>6</v>
      </c>
      <c r="I65" s="60">
        <v>4</v>
      </c>
      <c r="J65" s="60">
        <v>9</v>
      </c>
      <c r="K65" s="12">
        <v>46342</v>
      </c>
      <c r="L65" s="12">
        <v>46367</v>
      </c>
      <c r="M65" s="60" t="s">
        <v>337</v>
      </c>
      <c r="N65" s="60" t="s">
        <v>337</v>
      </c>
      <c r="O65" s="60" t="s">
        <v>149</v>
      </c>
      <c r="P65" s="60" t="s">
        <v>105</v>
      </c>
      <c r="Q65" s="60"/>
      <c r="R65" s="60" t="s">
        <v>106</v>
      </c>
      <c r="S65" s="60" t="s">
        <v>293</v>
      </c>
      <c r="T65" s="13">
        <v>0</v>
      </c>
      <c r="U65" s="60"/>
      <c r="V65" s="60" t="s">
        <v>108</v>
      </c>
      <c r="W65" s="12"/>
      <c r="X65" s="12"/>
      <c r="Y65" s="12"/>
      <c r="Z65" s="35" t="str">
        <f t="shared" si="1"/>
        <v/>
      </c>
      <c r="AA65" s="60"/>
    </row>
    <row r="66" spans="1:27" ht="29" customHeight="1" x14ac:dyDescent="0.35">
      <c r="A66" s="7" t="s">
        <v>11</v>
      </c>
      <c r="B66" s="60" t="s">
        <v>336</v>
      </c>
      <c r="C66" s="60" t="s">
        <v>343</v>
      </c>
      <c r="D66" s="60" t="s">
        <v>142</v>
      </c>
      <c r="E66" s="60" t="s">
        <v>344</v>
      </c>
      <c r="F66" s="60" t="s">
        <v>345</v>
      </c>
      <c r="G66" s="60" t="s">
        <v>104</v>
      </c>
      <c r="H66" s="60">
        <v>7</v>
      </c>
      <c r="I66" s="60">
        <v>3</v>
      </c>
      <c r="J66" s="60">
        <v>9</v>
      </c>
      <c r="K66" s="12">
        <v>46349</v>
      </c>
      <c r="L66" s="12">
        <v>46367</v>
      </c>
      <c r="M66" s="60" t="s">
        <v>337</v>
      </c>
      <c r="N66" s="60" t="s">
        <v>337</v>
      </c>
      <c r="O66" s="60" t="s">
        <v>111</v>
      </c>
      <c r="P66" s="60" t="s">
        <v>105</v>
      </c>
      <c r="Q66" s="60"/>
      <c r="R66" s="60" t="s">
        <v>106</v>
      </c>
      <c r="S66" s="60" t="s">
        <v>346</v>
      </c>
      <c r="T66" s="13">
        <v>0</v>
      </c>
      <c r="U66" s="60"/>
      <c r="V66" s="60" t="s">
        <v>108</v>
      </c>
      <c r="W66" s="12"/>
      <c r="X66" s="12"/>
      <c r="Y66" s="12"/>
      <c r="Z66" s="35" t="str">
        <f t="shared" si="1"/>
        <v/>
      </c>
      <c r="AA66" s="60"/>
    </row>
    <row r="67" spans="1:27" ht="29" customHeight="1" x14ac:dyDescent="0.35">
      <c r="A67" s="7" t="s">
        <v>347</v>
      </c>
      <c r="B67" s="60" t="s">
        <v>336</v>
      </c>
      <c r="C67" s="60" t="s">
        <v>348</v>
      </c>
      <c r="D67" s="60" t="s">
        <v>142</v>
      </c>
      <c r="E67" s="60" t="s">
        <v>349</v>
      </c>
      <c r="F67" s="60" t="s">
        <v>183</v>
      </c>
      <c r="G67" s="60" t="s">
        <v>104</v>
      </c>
      <c r="H67" s="60">
        <v>9</v>
      </c>
      <c r="I67" s="60">
        <v>2</v>
      </c>
      <c r="J67" s="60">
        <v>10</v>
      </c>
      <c r="K67" s="12">
        <v>46363</v>
      </c>
      <c r="L67" s="12">
        <v>46374</v>
      </c>
      <c r="M67" s="60" t="s">
        <v>341</v>
      </c>
      <c r="N67" s="60" t="s">
        <v>341</v>
      </c>
      <c r="O67" s="60" t="s">
        <v>111</v>
      </c>
      <c r="P67" s="60" t="s">
        <v>105</v>
      </c>
      <c r="Q67" s="60"/>
      <c r="R67" s="60" t="s">
        <v>106</v>
      </c>
      <c r="S67" s="60" t="s">
        <v>350</v>
      </c>
      <c r="T67" s="13">
        <v>0</v>
      </c>
      <c r="U67" s="60"/>
      <c r="V67" s="60" t="s">
        <v>108</v>
      </c>
      <c r="W67" s="12"/>
      <c r="X67" s="12"/>
      <c r="Y67" s="12"/>
      <c r="Z67" s="35" t="str">
        <f t="shared" si="1"/>
        <v/>
      </c>
      <c r="AA67" s="60"/>
    </row>
    <row r="68" spans="1:27" ht="29" customHeight="1" x14ac:dyDescent="0.35">
      <c r="A68" s="7" t="s">
        <v>347</v>
      </c>
      <c r="B68" s="60" t="s">
        <v>336</v>
      </c>
      <c r="C68" s="60" t="s">
        <v>351</v>
      </c>
      <c r="D68" s="60" t="s">
        <v>156</v>
      </c>
      <c r="E68" s="60" t="s">
        <v>352</v>
      </c>
      <c r="F68" s="60" t="s">
        <v>158</v>
      </c>
      <c r="G68" s="60" t="s">
        <v>104</v>
      </c>
      <c r="H68" s="60">
        <v>9</v>
      </c>
      <c r="I68" s="60">
        <v>5</v>
      </c>
      <c r="J68" s="60">
        <v>13</v>
      </c>
      <c r="K68" s="12">
        <v>46363</v>
      </c>
      <c r="L68" s="12">
        <v>46395</v>
      </c>
      <c r="M68" s="60" t="s">
        <v>53</v>
      </c>
      <c r="N68" s="60" t="s">
        <v>53</v>
      </c>
      <c r="O68" s="60" t="s">
        <v>111</v>
      </c>
      <c r="P68" s="14" t="s">
        <v>201</v>
      </c>
      <c r="Q68" s="60"/>
      <c r="R68" s="60" t="s">
        <v>106</v>
      </c>
      <c r="S68" s="60" t="s">
        <v>353</v>
      </c>
      <c r="T68" s="13">
        <v>0</v>
      </c>
      <c r="U68" s="60"/>
      <c r="V68" s="60" t="s">
        <v>108</v>
      </c>
      <c r="W68" s="12"/>
      <c r="X68" s="12"/>
      <c r="Y68" s="12"/>
      <c r="Z68" s="35" t="str">
        <f t="shared" si="1"/>
        <v/>
      </c>
      <c r="AA68" s="60"/>
    </row>
    <row r="69" spans="1:27" ht="29" customHeight="1" x14ac:dyDescent="0.35">
      <c r="A69" s="7" t="s">
        <v>13</v>
      </c>
      <c r="B69" s="60" t="s">
        <v>336</v>
      </c>
      <c r="C69" s="60" t="s">
        <v>354</v>
      </c>
      <c r="D69" s="60" t="s">
        <v>255</v>
      </c>
      <c r="E69" s="60" t="s">
        <v>355</v>
      </c>
      <c r="F69" s="60" t="s">
        <v>257</v>
      </c>
      <c r="G69" s="60" t="s">
        <v>104</v>
      </c>
      <c r="H69" s="60">
        <v>10</v>
      </c>
      <c r="I69" s="60">
        <v>3</v>
      </c>
      <c r="J69" s="60">
        <v>12</v>
      </c>
      <c r="K69" s="12">
        <v>46370</v>
      </c>
      <c r="L69" s="12">
        <v>46388</v>
      </c>
      <c r="M69" s="60" t="s">
        <v>348</v>
      </c>
      <c r="N69" s="60" t="s">
        <v>348</v>
      </c>
      <c r="O69" s="60" t="s">
        <v>111</v>
      </c>
      <c r="P69" s="60" t="s">
        <v>105</v>
      </c>
      <c r="Q69" s="60"/>
      <c r="R69" s="60" t="s">
        <v>106</v>
      </c>
      <c r="S69" s="60" t="s">
        <v>302</v>
      </c>
      <c r="T69" s="13">
        <v>0</v>
      </c>
      <c r="U69" s="60"/>
      <c r="V69" s="60" t="s">
        <v>108</v>
      </c>
      <c r="W69" s="12"/>
      <c r="X69" s="12"/>
      <c r="Y69" s="12"/>
      <c r="Z69" s="35" t="str">
        <f t="shared" ref="Z69:Z100" si="2">IF(Y69&lt;&gt;"",Y69-L69,IF(X69&lt;&gt;"",X69-L69,""))</f>
        <v/>
      </c>
      <c r="AA69" s="60"/>
    </row>
    <row r="70" spans="1:27" ht="29" customHeight="1" x14ac:dyDescent="0.35">
      <c r="A70" s="7" t="s">
        <v>13</v>
      </c>
      <c r="B70" s="60" t="s">
        <v>336</v>
      </c>
      <c r="C70" s="60" t="s">
        <v>356</v>
      </c>
      <c r="D70" s="60" t="s">
        <v>156</v>
      </c>
      <c r="E70" s="60" t="s">
        <v>357</v>
      </c>
      <c r="F70" s="60" t="s">
        <v>158</v>
      </c>
      <c r="G70" s="60" t="s">
        <v>104</v>
      </c>
      <c r="H70" s="60">
        <v>11</v>
      </c>
      <c r="I70" s="60">
        <v>3</v>
      </c>
      <c r="J70" s="60">
        <v>13</v>
      </c>
      <c r="K70" s="12">
        <v>46377</v>
      </c>
      <c r="L70" s="12">
        <v>46395</v>
      </c>
      <c r="M70" s="60" t="s">
        <v>351</v>
      </c>
      <c r="N70" s="60" t="s">
        <v>351</v>
      </c>
      <c r="O70" s="60" t="s">
        <v>149</v>
      </c>
      <c r="P70" s="60" t="s">
        <v>105</v>
      </c>
      <c r="Q70" s="60"/>
      <c r="R70" s="60" t="s">
        <v>106</v>
      </c>
      <c r="S70" s="60" t="s">
        <v>305</v>
      </c>
      <c r="T70" s="13">
        <v>0</v>
      </c>
      <c r="U70" s="60"/>
      <c r="V70" s="60" t="s">
        <v>108</v>
      </c>
      <c r="W70" s="12"/>
      <c r="X70" s="12"/>
      <c r="Y70" s="12"/>
      <c r="Z70" s="35" t="str">
        <f t="shared" si="2"/>
        <v/>
      </c>
      <c r="AA70" s="60"/>
    </row>
    <row r="71" spans="1:27" ht="29" customHeight="1" x14ac:dyDescent="0.35">
      <c r="A71" s="7" t="s">
        <v>13</v>
      </c>
      <c r="B71" s="60" t="s">
        <v>336</v>
      </c>
      <c r="C71" s="60" t="s">
        <v>358</v>
      </c>
      <c r="D71" s="60" t="s">
        <v>174</v>
      </c>
      <c r="E71" s="60" t="s">
        <v>359</v>
      </c>
      <c r="F71" s="60" t="s">
        <v>176</v>
      </c>
      <c r="G71" s="60" t="s">
        <v>104</v>
      </c>
      <c r="H71" s="60">
        <v>12</v>
      </c>
      <c r="I71" s="60">
        <v>1</v>
      </c>
      <c r="J71" s="60">
        <v>12</v>
      </c>
      <c r="K71" s="12">
        <v>46384</v>
      </c>
      <c r="L71" s="12">
        <v>46388</v>
      </c>
      <c r="M71" s="60" t="s">
        <v>354</v>
      </c>
      <c r="N71" s="60" t="s">
        <v>354</v>
      </c>
      <c r="O71" s="60" t="s">
        <v>111</v>
      </c>
      <c r="P71" s="14" t="s">
        <v>201</v>
      </c>
      <c r="Q71" s="60"/>
      <c r="R71" s="60" t="s">
        <v>106</v>
      </c>
      <c r="S71" s="60" t="s">
        <v>265</v>
      </c>
      <c r="T71" s="13">
        <v>0</v>
      </c>
      <c r="U71" s="60"/>
      <c r="V71" s="60" t="s">
        <v>108</v>
      </c>
      <c r="W71" s="12"/>
      <c r="X71" s="12"/>
      <c r="Y71" s="12"/>
      <c r="Z71" s="35" t="str">
        <f t="shared" si="2"/>
        <v/>
      </c>
      <c r="AA71" s="60"/>
    </row>
    <row r="72" spans="1:27" ht="29" customHeight="1" x14ac:dyDescent="0.35">
      <c r="A72" s="7" t="s">
        <v>13</v>
      </c>
      <c r="B72" s="60" t="s">
        <v>336</v>
      </c>
      <c r="C72" s="60" t="s">
        <v>360</v>
      </c>
      <c r="D72" s="60" t="s">
        <v>174</v>
      </c>
      <c r="E72" s="60" t="s">
        <v>361</v>
      </c>
      <c r="F72" s="60" t="s">
        <v>176</v>
      </c>
      <c r="G72" s="60" t="s">
        <v>104</v>
      </c>
      <c r="H72" s="60">
        <v>13</v>
      </c>
      <c r="I72" s="60">
        <v>1</v>
      </c>
      <c r="J72" s="60">
        <v>13</v>
      </c>
      <c r="K72" s="12">
        <v>46391</v>
      </c>
      <c r="L72" s="12">
        <v>46395</v>
      </c>
      <c r="M72" s="60" t="s">
        <v>358</v>
      </c>
      <c r="N72" s="60" t="s">
        <v>358</v>
      </c>
      <c r="O72" s="60" t="s">
        <v>111</v>
      </c>
      <c r="P72" s="14" t="s">
        <v>201</v>
      </c>
      <c r="Q72" s="60"/>
      <c r="R72" s="60" t="s">
        <v>106</v>
      </c>
      <c r="S72" s="60" t="s">
        <v>265</v>
      </c>
      <c r="T72" s="13">
        <v>0</v>
      </c>
      <c r="U72" s="60"/>
      <c r="V72" s="60" t="s">
        <v>108</v>
      </c>
      <c r="W72" s="12"/>
      <c r="X72" s="12"/>
      <c r="Y72" s="12"/>
      <c r="Z72" s="35" t="str">
        <f t="shared" si="2"/>
        <v/>
      </c>
      <c r="AA72" s="60"/>
    </row>
    <row r="73" spans="1:27" ht="29" customHeight="1" x14ac:dyDescent="0.35">
      <c r="A73" s="15" t="s">
        <v>13</v>
      </c>
      <c r="B73" s="16" t="s">
        <v>336</v>
      </c>
      <c r="C73" s="16" t="s">
        <v>362</v>
      </c>
      <c r="D73" s="16" t="s">
        <v>101</v>
      </c>
      <c r="E73" s="16" t="s">
        <v>363</v>
      </c>
      <c r="F73" s="16" t="s">
        <v>314</v>
      </c>
      <c r="G73" s="16" t="s">
        <v>231</v>
      </c>
      <c r="H73" s="16">
        <v>13</v>
      </c>
      <c r="I73" s="16">
        <v>1</v>
      </c>
      <c r="J73" s="16">
        <v>13</v>
      </c>
      <c r="K73" s="17">
        <v>46391</v>
      </c>
      <c r="L73" s="17">
        <v>46395</v>
      </c>
      <c r="M73" s="16" t="s">
        <v>364</v>
      </c>
      <c r="N73" s="16" t="s">
        <v>360</v>
      </c>
      <c r="O73" s="16" t="s">
        <v>111</v>
      </c>
      <c r="P73" s="14" t="s">
        <v>201</v>
      </c>
      <c r="Q73" s="16"/>
      <c r="R73" s="16" t="s">
        <v>106</v>
      </c>
      <c r="S73" s="16" t="s">
        <v>316</v>
      </c>
      <c r="T73" s="18">
        <v>0</v>
      </c>
      <c r="U73" s="16"/>
      <c r="V73" s="60" t="s">
        <v>108</v>
      </c>
      <c r="W73" s="12"/>
      <c r="X73" s="12"/>
      <c r="Y73" s="12"/>
      <c r="Z73" s="35" t="str">
        <f t="shared" si="2"/>
        <v/>
      </c>
      <c r="AA73" s="60"/>
    </row>
    <row r="74" spans="1:27" ht="29" customHeight="1" x14ac:dyDescent="0.35">
      <c r="A74" s="7" t="s">
        <v>15</v>
      </c>
      <c r="B74" s="60" t="s">
        <v>336</v>
      </c>
      <c r="C74" s="60" t="s">
        <v>365</v>
      </c>
      <c r="D74" s="60" t="s">
        <v>174</v>
      </c>
      <c r="E74" s="60" t="s">
        <v>366</v>
      </c>
      <c r="F74" s="60" t="s">
        <v>367</v>
      </c>
      <c r="G74" s="60" t="s">
        <v>272</v>
      </c>
      <c r="H74" s="60">
        <v>14</v>
      </c>
      <c r="I74" s="60">
        <v>1</v>
      </c>
      <c r="J74" s="60">
        <v>14</v>
      </c>
      <c r="K74" s="12">
        <v>46398</v>
      </c>
      <c r="L74" s="12">
        <v>46402</v>
      </c>
      <c r="M74" s="60" t="s">
        <v>362</v>
      </c>
      <c r="N74" s="60" t="s">
        <v>362</v>
      </c>
      <c r="O74" s="60" t="s">
        <v>111</v>
      </c>
      <c r="P74" s="14" t="s">
        <v>201</v>
      </c>
      <c r="Q74" s="60" t="s">
        <v>273</v>
      </c>
      <c r="R74" s="60" t="s">
        <v>106</v>
      </c>
      <c r="S74" s="60" t="s">
        <v>368</v>
      </c>
      <c r="T74" s="13">
        <v>0</v>
      </c>
      <c r="U74" s="60"/>
      <c r="V74" s="60" t="s">
        <v>108</v>
      </c>
      <c r="W74" s="12"/>
      <c r="X74" s="12"/>
      <c r="Y74" s="12"/>
      <c r="Z74" s="35" t="str">
        <f t="shared" si="2"/>
        <v/>
      </c>
      <c r="AA74" s="60"/>
    </row>
    <row r="75" spans="1:27" ht="29" customHeight="1" x14ac:dyDescent="0.35">
      <c r="A75" s="7" t="s">
        <v>15</v>
      </c>
      <c r="B75" s="60" t="s">
        <v>336</v>
      </c>
      <c r="C75" s="60" t="s">
        <v>369</v>
      </c>
      <c r="D75" s="60" t="s">
        <v>174</v>
      </c>
      <c r="E75" s="60" t="s">
        <v>370</v>
      </c>
      <c r="F75" s="60" t="s">
        <v>367</v>
      </c>
      <c r="G75" s="60" t="s">
        <v>272</v>
      </c>
      <c r="H75" s="60">
        <v>15</v>
      </c>
      <c r="I75" s="60">
        <v>1</v>
      </c>
      <c r="J75" s="60">
        <v>15</v>
      </c>
      <c r="K75" s="12">
        <v>46405</v>
      </c>
      <c r="L75" s="12">
        <v>46409</v>
      </c>
      <c r="M75" s="60" t="s">
        <v>365</v>
      </c>
      <c r="N75" s="60" t="s">
        <v>365</v>
      </c>
      <c r="O75" s="60" t="s">
        <v>111</v>
      </c>
      <c r="P75" s="14" t="s">
        <v>201</v>
      </c>
      <c r="Q75" s="60" t="s">
        <v>273</v>
      </c>
      <c r="R75" s="60" t="s">
        <v>106</v>
      </c>
      <c r="S75" s="60" t="s">
        <v>371</v>
      </c>
      <c r="T75" s="13">
        <v>0</v>
      </c>
      <c r="U75" s="60"/>
      <c r="V75" s="60" t="s">
        <v>108</v>
      </c>
      <c r="W75" s="12"/>
      <c r="X75" s="12"/>
      <c r="Y75" s="12"/>
      <c r="Z75" s="35" t="str">
        <f t="shared" si="2"/>
        <v/>
      </c>
      <c r="AA75" s="60"/>
    </row>
    <row r="76" spans="1:27" ht="29" customHeight="1" x14ac:dyDescent="0.35">
      <c r="A76" s="7" t="s">
        <v>15</v>
      </c>
      <c r="B76" s="60" t="s">
        <v>336</v>
      </c>
      <c r="C76" s="60" t="s">
        <v>372</v>
      </c>
      <c r="D76" s="60" t="s">
        <v>174</v>
      </c>
      <c r="E76" s="60" t="s">
        <v>373</v>
      </c>
      <c r="F76" s="60" t="s">
        <v>271</v>
      </c>
      <c r="G76" s="60" t="s">
        <v>104</v>
      </c>
      <c r="H76" s="60">
        <v>15</v>
      </c>
      <c r="I76" s="60">
        <v>3</v>
      </c>
      <c r="J76" s="60">
        <v>17</v>
      </c>
      <c r="K76" s="12">
        <v>46405</v>
      </c>
      <c r="L76" s="12">
        <v>46423</v>
      </c>
      <c r="M76" s="60" t="s">
        <v>365</v>
      </c>
      <c r="N76" s="60" t="s">
        <v>365</v>
      </c>
      <c r="O76" s="60" t="s">
        <v>111</v>
      </c>
      <c r="P76" s="14" t="s">
        <v>201</v>
      </c>
      <c r="Q76" s="60"/>
      <c r="R76" s="60" t="s">
        <v>106</v>
      </c>
      <c r="S76" s="60" t="s">
        <v>323</v>
      </c>
      <c r="T76" s="13">
        <v>0</v>
      </c>
      <c r="U76" s="60"/>
      <c r="V76" s="60" t="s">
        <v>108</v>
      </c>
      <c r="W76" s="12"/>
      <c r="X76" s="12"/>
      <c r="Y76" s="12"/>
      <c r="Z76" s="35" t="str">
        <f t="shared" si="2"/>
        <v/>
      </c>
      <c r="AA76" s="60"/>
    </row>
    <row r="77" spans="1:27" ht="29" customHeight="1" x14ac:dyDescent="0.35">
      <c r="A77" s="7" t="s">
        <v>15</v>
      </c>
      <c r="B77" s="60" t="s">
        <v>336</v>
      </c>
      <c r="C77" s="60" t="s">
        <v>374</v>
      </c>
      <c r="D77" s="60" t="s">
        <v>174</v>
      </c>
      <c r="E77" s="60" t="s">
        <v>375</v>
      </c>
      <c r="F77" s="60" t="s">
        <v>280</v>
      </c>
      <c r="G77" s="60" t="s">
        <v>281</v>
      </c>
      <c r="H77" s="60">
        <v>16</v>
      </c>
      <c r="I77" s="60">
        <v>1</v>
      </c>
      <c r="J77" s="60">
        <v>16</v>
      </c>
      <c r="K77" s="12">
        <v>46412</v>
      </c>
      <c r="L77" s="12">
        <v>46416</v>
      </c>
      <c r="M77" s="60" t="s">
        <v>369</v>
      </c>
      <c r="N77" s="60" t="s">
        <v>369</v>
      </c>
      <c r="O77" s="60" t="s">
        <v>111</v>
      </c>
      <c r="P77" s="14" t="s">
        <v>201</v>
      </c>
      <c r="Q77" s="60" t="s">
        <v>273</v>
      </c>
      <c r="R77" s="60" t="s">
        <v>106</v>
      </c>
      <c r="S77" s="60" t="s">
        <v>282</v>
      </c>
      <c r="T77" s="13">
        <v>0</v>
      </c>
      <c r="U77" s="60"/>
      <c r="V77" s="60" t="s">
        <v>108</v>
      </c>
      <c r="W77" s="12"/>
      <c r="X77" s="12"/>
      <c r="Y77" s="12"/>
      <c r="Z77" s="35" t="str">
        <f t="shared" si="2"/>
        <v/>
      </c>
      <c r="AA77" s="60"/>
    </row>
    <row r="78" spans="1:27" ht="29" customHeight="1" x14ac:dyDescent="0.35">
      <c r="A78" s="7" t="s">
        <v>15</v>
      </c>
      <c r="B78" s="60" t="s">
        <v>336</v>
      </c>
      <c r="C78" s="60" t="s">
        <v>376</v>
      </c>
      <c r="D78" s="60" t="s">
        <v>174</v>
      </c>
      <c r="E78" s="60" t="s">
        <v>377</v>
      </c>
      <c r="F78" s="60" t="s">
        <v>308</v>
      </c>
      <c r="G78" s="60" t="s">
        <v>104</v>
      </c>
      <c r="H78" s="60">
        <v>17</v>
      </c>
      <c r="I78" s="60">
        <v>1</v>
      </c>
      <c r="J78" s="60">
        <v>17</v>
      </c>
      <c r="K78" s="12">
        <v>46419</v>
      </c>
      <c r="L78" s="12">
        <v>46423</v>
      </c>
      <c r="M78" s="60" t="s">
        <v>372</v>
      </c>
      <c r="N78" s="60" t="s">
        <v>372</v>
      </c>
      <c r="O78" s="60" t="s">
        <v>111</v>
      </c>
      <c r="P78" s="60" t="s">
        <v>105</v>
      </c>
      <c r="Q78" s="60"/>
      <c r="R78" s="60" t="s">
        <v>106</v>
      </c>
      <c r="S78" s="60" t="s">
        <v>328</v>
      </c>
      <c r="T78" s="13">
        <v>0</v>
      </c>
      <c r="U78" s="60"/>
      <c r="V78" s="60" t="s">
        <v>108</v>
      </c>
      <c r="W78" s="12"/>
      <c r="X78" s="12"/>
      <c r="Y78" s="12"/>
      <c r="Z78" s="35" t="str">
        <f t="shared" si="2"/>
        <v/>
      </c>
      <c r="AA78" s="60"/>
    </row>
    <row r="79" spans="1:27" ht="29" customHeight="1" x14ac:dyDescent="0.35">
      <c r="A79" s="15" t="s">
        <v>15</v>
      </c>
      <c r="B79" s="16" t="s">
        <v>336</v>
      </c>
      <c r="C79" s="16" t="s">
        <v>62</v>
      </c>
      <c r="D79" s="16" t="s">
        <v>101</v>
      </c>
      <c r="E79" s="16" t="s">
        <v>378</v>
      </c>
      <c r="F79" s="16" t="s">
        <v>330</v>
      </c>
      <c r="G79" s="16" t="s">
        <v>231</v>
      </c>
      <c r="H79" s="16">
        <v>17</v>
      </c>
      <c r="I79" s="16">
        <v>1</v>
      </c>
      <c r="J79" s="16">
        <v>17</v>
      </c>
      <c r="K79" s="17">
        <v>46419</v>
      </c>
      <c r="L79" s="17">
        <v>46423</v>
      </c>
      <c r="M79" s="16" t="s">
        <v>379</v>
      </c>
      <c r="N79" s="16" t="s">
        <v>376</v>
      </c>
      <c r="O79" s="16" t="s">
        <v>111</v>
      </c>
      <c r="P79" s="14" t="s">
        <v>201</v>
      </c>
      <c r="Q79" s="16"/>
      <c r="R79" s="16" t="s">
        <v>106</v>
      </c>
      <c r="S79" s="16" t="s">
        <v>332</v>
      </c>
      <c r="T79" s="18">
        <v>0</v>
      </c>
      <c r="U79" s="16"/>
      <c r="V79" s="60" t="s">
        <v>108</v>
      </c>
      <c r="W79" s="12"/>
      <c r="X79" s="12"/>
      <c r="Y79" s="12"/>
      <c r="Z79" s="35" t="str">
        <f t="shared" si="2"/>
        <v/>
      </c>
      <c r="AA79" s="60"/>
    </row>
    <row r="80" spans="1:27" ht="29" customHeight="1" x14ac:dyDescent="0.35">
      <c r="A80" s="7" t="s">
        <v>19</v>
      </c>
      <c r="B80" s="60" t="s">
        <v>336</v>
      </c>
      <c r="C80" s="60" t="s">
        <v>380</v>
      </c>
      <c r="D80" s="60" t="s">
        <v>169</v>
      </c>
      <c r="E80" s="60" t="s">
        <v>381</v>
      </c>
      <c r="F80" s="60" t="s">
        <v>248</v>
      </c>
      <c r="G80" s="60" t="s">
        <v>104</v>
      </c>
      <c r="H80" s="60">
        <v>18</v>
      </c>
      <c r="I80" s="60">
        <v>3</v>
      </c>
      <c r="J80" s="60">
        <v>20</v>
      </c>
      <c r="K80" s="12">
        <v>46426</v>
      </c>
      <c r="L80" s="12">
        <v>46444</v>
      </c>
      <c r="M80" s="60" t="s">
        <v>62</v>
      </c>
      <c r="N80" s="60" t="s">
        <v>62</v>
      </c>
      <c r="O80" s="60" t="s">
        <v>111</v>
      </c>
      <c r="P80" s="60" t="s">
        <v>105</v>
      </c>
      <c r="Q80" s="60"/>
      <c r="R80" s="60" t="s">
        <v>106</v>
      </c>
      <c r="S80" s="60" t="s">
        <v>335</v>
      </c>
      <c r="T80" s="13">
        <v>0</v>
      </c>
      <c r="U80" s="60"/>
      <c r="V80" s="60" t="s">
        <v>108</v>
      </c>
      <c r="W80" s="12"/>
      <c r="X80" s="12"/>
      <c r="Y80" s="12"/>
      <c r="Z80" s="35" t="str">
        <f t="shared" si="2"/>
        <v/>
      </c>
      <c r="AA80" s="60"/>
    </row>
    <row r="81" spans="1:27" ht="29" customHeight="1" x14ac:dyDescent="0.35">
      <c r="A81" s="7" t="s">
        <v>11</v>
      </c>
      <c r="B81" s="60" t="s">
        <v>382</v>
      </c>
      <c r="C81" s="60" t="s">
        <v>383</v>
      </c>
      <c r="D81" s="60" t="s">
        <v>142</v>
      </c>
      <c r="E81" s="60" t="s">
        <v>384</v>
      </c>
      <c r="F81" s="60" t="s">
        <v>171</v>
      </c>
      <c r="G81" s="60" t="s">
        <v>104</v>
      </c>
      <c r="H81" s="60">
        <v>7</v>
      </c>
      <c r="I81" s="60">
        <v>3</v>
      </c>
      <c r="J81" s="60">
        <v>9</v>
      </c>
      <c r="K81" s="12">
        <v>46349</v>
      </c>
      <c r="L81" s="12">
        <v>46367</v>
      </c>
      <c r="M81" s="60" t="s">
        <v>178</v>
      </c>
      <c r="N81" s="60" t="s">
        <v>178</v>
      </c>
      <c r="O81" s="60" t="s">
        <v>111</v>
      </c>
      <c r="P81" s="60" t="s">
        <v>105</v>
      </c>
      <c r="Q81" s="60"/>
      <c r="R81" s="60" t="s">
        <v>106</v>
      </c>
      <c r="S81" s="60" t="s">
        <v>385</v>
      </c>
      <c r="T81" s="13">
        <v>0</v>
      </c>
      <c r="U81" s="60"/>
      <c r="V81" s="60" t="s">
        <v>108</v>
      </c>
      <c r="W81" s="12"/>
      <c r="X81" s="12"/>
      <c r="Y81" s="12"/>
      <c r="Z81" s="35" t="str">
        <f t="shared" si="2"/>
        <v/>
      </c>
      <c r="AA81" s="60"/>
    </row>
    <row r="82" spans="1:27" ht="29" customHeight="1" x14ac:dyDescent="0.35">
      <c r="A82" s="7" t="s">
        <v>347</v>
      </c>
      <c r="B82" s="60" t="s">
        <v>382</v>
      </c>
      <c r="C82" s="60" t="s">
        <v>386</v>
      </c>
      <c r="D82" s="60" t="s">
        <v>142</v>
      </c>
      <c r="E82" s="60" t="s">
        <v>387</v>
      </c>
      <c r="F82" s="60" t="s">
        <v>241</v>
      </c>
      <c r="G82" s="60" t="s">
        <v>104</v>
      </c>
      <c r="H82" s="60">
        <v>9</v>
      </c>
      <c r="I82" s="60">
        <v>5</v>
      </c>
      <c r="J82" s="60">
        <v>13</v>
      </c>
      <c r="K82" s="12">
        <v>46363</v>
      </c>
      <c r="L82" s="12">
        <v>46395</v>
      </c>
      <c r="M82" s="60" t="s">
        <v>383</v>
      </c>
      <c r="N82" s="60" t="s">
        <v>383</v>
      </c>
      <c r="O82" s="60" t="s">
        <v>111</v>
      </c>
      <c r="P82" s="60" t="s">
        <v>105</v>
      </c>
      <c r="Q82" s="60"/>
      <c r="R82" s="60" t="s">
        <v>106</v>
      </c>
      <c r="S82" s="60" t="s">
        <v>293</v>
      </c>
      <c r="T82" s="13">
        <v>0</v>
      </c>
      <c r="U82" s="60"/>
      <c r="V82" s="60" t="s">
        <v>108</v>
      </c>
      <c r="W82" s="12"/>
      <c r="X82" s="12"/>
      <c r="Y82" s="12"/>
      <c r="Z82" s="35" t="str">
        <f t="shared" si="2"/>
        <v/>
      </c>
      <c r="AA82" s="60"/>
    </row>
    <row r="83" spans="1:27" ht="29" customHeight="1" x14ac:dyDescent="0.35">
      <c r="A83" s="7" t="s">
        <v>388</v>
      </c>
      <c r="B83" s="60" t="s">
        <v>382</v>
      </c>
      <c r="C83" s="60" t="s">
        <v>389</v>
      </c>
      <c r="D83" s="60" t="s">
        <v>142</v>
      </c>
      <c r="E83" s="60" t="s">
        <v>390</v>
      </c>
      <c r="F83" s="60" t="s">
        <v>183</v>
      </c>
      <c r="G83" s="60" t="s">
        <v>104</v>
      </c>
      <c r="H83" s="60">
        <v>13</v>
      </c>
      <c r="I83" s="60">
        <v>2</v>
      </c>
      <c r="J83" s="60">
        <v>14</v>
      </c>
      <c r="K83" s="12">
        <v>46391</v>
      </c>
      <c r="L83" s="12">
        <v>46402</v>
      </c>
      <c r="M83" s="60" t="s">
        <v>386</v>
      </c>
      <c r="N83" s="60" t="s">
        <v>386</v>
      </c>
      <c r="O83" s="60" t="s">
        <v>111</v>
      </c>
      <c r="P83" s="60" t="s">
        <v>105</v>
      </c>
      <c r="Q83" s="60"/>
      <c r="R83" s="60" t="s">
        <v>106</v>
      </c>
      <c r="S83" s="60" t="s">
        <v>391</v>
      </c>
      <c r="T83" s="13">
        <v>0</v>
      </c>
      <c r="U83" s="60"/>
      <c r="V83" s="60" t="s">
        <v>108</v>
      </c>
      <c r="W83" s="12"/>
      <c r="X83" s="12"/>
      <c r="Y83" s="12"/>
      <c r="Z83" s="35" t="str">
        <f t="shared" si="2"/>
        <v/>
      </c>
      <c r="AA83" s="60"/>
    </row>
    <row r="84" spans="1:27" ht="29" customHeight="1" x14ac:dyDescent="0.35">
      <c r="A84" s="7" t="s">
        <v>388</v>
      </c>
      <c r="B84" s="60" t="s">
        <v>382</v>
      </c>
      <c r="C84" s="60" t="s">
        <v>392</v>
      </c>
      <c r="D84" s="60" t="s">
        <v>156</v>
      </c>
      <c r="E84" s="60" t="s">
        <v>393</v>
      </c>
      <c r="F84" s="60" t="s">
        <v>158</v>
      </c>
      <c r="G84" s="60" t="s">
        <v>104</v>
      </c>
      <c r="H84" s="60">
        <v>12</v>
      </c>
      <c r="I84" s="60">
        <v>6</v>
      </c>
      <c r="J84" s="60">
        <v>17</v>
      </c>
      <c r="K84" s="12">
        <v>46384</v>
      </c>
      <c r="L84" s="12">
        <v>46423</v>
      </c>
      <c r="M84" s="60" t="s">
        <v>53</v>
      </c>
      <c r="N84" s="60" t="s">
        <v>53</v>
      </c>
      <c r="O84" s="60" t="s">
        <v>111</v>
      </c>
      <c r="P84" s="14" t="s">
        <v>201</v>
      </c>
      <c r="Q84" s="60"/>
      <c r="R84" s="60" t="s">
        <v>106</v>
      </c>
      <c r="S84" s="60" t="s">
        <v>253</v>
      </c>
      <c r="T84" s="13">
        <v>0</v>
      </c>
      <c r="U84" s="60"/>
      <c r="V84" s="60" t="s">
        <v>108</v>
      </c>
      <c r="W84" s="12"/>
      <c r="X84" s="12"/>
      <c r="Y84" s="12"/>
      <c r="Z84" s="35" t="str">
        <f t="shared" si="2"/>
        <v/>
      </c>
      <c r="AA84" s="60"/>
    </row>
    <row r="85" spans="1:27" ht="29" customHeight="1" x14ac:dyDescent="0.35">
      <c r="A85" s="7" t="s">
        <v>15</v>
      </c>
      <c r="B85" s="60" t="s">
        <v>382</v>
      </c>
      <c r="C85" s="60" t="s">
        <v>394</v>
      </c>
      <c r="D85" s="60" t="s">
        <v>255</v>
      </c>
      <c r="E85" s="60" t="s">
        <v>355</v>
      </c>
      <c r="F85" s="60" t="s">
        <v>257</v>
      </c>
      <c r="G85" s="60" t="s">
        <v>104</v>
      </c>
      <c r="H85" s="60">
        <v>14</v>
      </c>
      <c r="I85" s="60">
        <v>3</v>
      </c>
      <c r="J85" s="60">
        <v>16</v>
      </c>
      <c r="K85" s="12">
        <v>46398</v>
      </c>
      <c r="L85" s="12">
        <v>46416</v>
      </c>
      <c r="M85" s="60" t="s">
        <v>389</v>
      </c>
      <c r="N85" s="60" t="s">
        <v>389</v>
      </c>
      <c r="O85" s="60" t="s">
        <v>111</v>
      </c>
      <c r="P85" s="60" t="s">
        <v>105</v>
      </c>
      <c r="Q85" s="60"/>
      <c r="R85" s="60" t="s">
        <v>106</v>
      </c>
      <c r="S85" s="60" t="s">
        <v>302</v>
      </c>
      <c r="T85" s="13">
        <v>0</v>
      </c>
      <c r="U85" s="60"/>
      <c r="V85" s="60" t="s">
        <v>108</v>
      </c>
      <c r="W85" s="12"/>
      <c r="X85" s="12"/>
      <c r="Y85" s="12"/>
      <c r="Z85" s="35" t="str">
        <f t="shared" si="2"/>
        <v/>
      </c>
      <c r="AA85" s="60"/>
    </row>
    <row r="86" spans="1:27" ht="29" customHeight="1" x14ac:dyDescent="0.35">
      <c r="A86" s="7" t="s">
        <v>15</v>
      </c>
      <c r="B86" s="60" t="s">
        <v>382</v>
      </c>
      <c r="C86" s="60" t="s">
        <v>395</v>
      </c>
      <c r="D86" s="60" t="s">
        <v>255</v>
      </c>
      <c r="E86" s="60" t="s">
        <v>396</v>
      </c>
      <c r="F86" s="60" t="s">
        <v>397</v>
      </c>
      <c r="G86" s="60" t="s">
        <v>104</v>
      </c>
      <c r="H86" s="60">
        <v>15</v>
      </c>
      <c r="I86" s="60">
        <v>2</v>
      </c>
      <c r="J86" s="60">
        <v>16</v>
      </c>
      <c r="K86" s="12">
        <v>46405</v>
      </c>
      <c r="L86" s="12">
        <v>46416</v>
      </c>
      <c r="M86" s="60" t="s">
        <v>394</v>
      </c>
      <c r="N86" s="60" t="s">
        <v>394</v>
      </c>
      <c r="O86" s="60" t="s">
        <v>149</v>
      </c>
      <c r="P86" s="14" t="s">
        <v>201</v>
      </c>
      <c r="Q86" s="60"/>
      <c r="R86" s="60" t="s">
        <v>106</v>
      </c>
      <c r="S86" s="60" t="s">
        <v>398</v>
      </c>
      <c r="T86" s="13">
        <v>0</v>
      </c>
      <c r="U86" s="60"/>
      <c r="V86" s="60" t="s">
        <v>108</v>
      </c>
      <c r="W86" s="12"/>
      <c r="X86" s="12"/>
      <c r="Y86" s="12"/>
      <c r="Z86" s="35" t="str">
        <f t="shared" si="2"/>
        <v/>
      </c>
      <c r="AA86" s="60"/>
    </row>
    <row r="87" spans="1:27" ht="29" customHeight="1" x14ac:dyDescent="0.35">
      <c r="A87" s="7" t="s">
        <v>15</v>
      </c>
      <c r="B87" s="60" t="s">
        <v>382</v>
      </c>
      <c r="C87" s="60" t="s">
        <v>399</v>
      </c>
      <c r="D87" s="60" t="s">
        <v>156</v>
      </c>
      <c r="E87" s="60" t="s">
        <v>357</v>
      </c>
      <c r="F87" s="60" t="s">
        <v>158</v>
      </c>
      <c r="G87" s="60" t="s">
        <v>104</v>
      </c>
      <c r="H87" s="60">
        <v>15</v>
      </c>
      <c r="I87" s="60">
        <v>3</v>
      </c>
      <c r="J87" s="60">
        <v>17</v>
      </c>
      <c r="K87" s="12">
        <v>46405</v>
      </c>
      <c r="L87" s="12">
        <v>46423</v>
      </c>
      <c r="M87" s="60" t="s">
        <v>392</v>
      </c>
      <c r="N87" s="60" t="s">
        <v>392</v>
      </c>
      <c r="O87" s="60" t="s">
        <v>149</v>
      </c>
      <c r="P87" s="60" t="s">
        <v>105</v>
      </c>
      <c r="Q87" s="60"/>
      <c r="R87" s="60" t="s">
        <v>106</v>
      </c>
      <c r="S87" s="60" t="s">
        <v>305</v>
      </c>
      <c r="T87" s="13">
        <v>0</v>
      </c>
      <c r="U87" s="60"/>
      <c r="V87" s="60" t="s">
        <v>108</v>
      </c>
      <c r="W87" s="12"/>
      <c r="X87" s="12"/>
      <c r="Y87" s="12"/>
      <c r="Z87" s="35" t="str">
        <f t="shared" si="2"/>
        <v/>
      </c>
      <c r="AA87" s="60"/>
    </row>
    <row r="88" spans="1:27" ht="29" customHeight="1" x14ac:dyDescent="0.35">
      <c r="A88" s="7" t="s">
        <v>15</v>
      </c>
      <c r="B88" s="60" t="s">
        <v>382</v>
      </c>
      <c r="C88" s="60" t="s">
        <v>400</v>
      </c>
      <c r="D88" s="60" t="s">
        <v>174</v>
      </c>
      <c r="E88" s="60" t="s">
        <v>359</v>
      </c>
      <c r="F88" s="60" t="s">
        <v>176</v>
      </c>
      <c r="G88" s="60" t="s">
        <v>104</v>
      </c>
      <c r="H88" s="60">
        <v>16</v>
      </c>
      <c r="I88" s="60">
        <v>1</v>
      </c>
      <c r="J88" s="60">
        <v>16</v>
      </c>
      <c r="K88" s="12">
        <v>46412</v>
      </c>
      <c r="L88" s="12">
        <v>46416</v>
      </c>
      <c r="M88" s="60" t="s">
        <v>394</v>
      </c>
      <c r="N88" s="60" t="s">
        <v>394</v>
      </c>
      <c r="O88" s="60" t="s">
        <v>111</v>
      </c>
      <c r="P88" s="14" t="s">
        <v>201</v>
      </c>
      <c r="Q88" s="60"/>
      <c r="R88" s="60" t="s">
        <v>106</v>
      </c>
      <c r="S88" s="60" t="s">
        <v>265</v>
      </c>
      <c r="T88" s="13">
        <v>0</v>
      </c>
      <c r="U88" s="60"/>
      <c r="V88" s="60" t="s">
        <v>108</v>
      </c>
      <c r="W88" s="12"/>
      <c r="X88" s="12"/>
      <c r="Y88" s="12"/>
      <c r="Z88" s="35" t="str">
        <f t="shared" si="2"/>
        <v/>
      </c>
      <c r="AA88" s="60"/>
    </row>
    <row r="89" spans="1:27" ht="29" customHeight="1" x14ac:dyDescent="0.35">
      <c r="A89" s="7" t="s">
        <v>15</v>
      </c>
      <c r="B89" s="60" t="s">
        <v>382</v>
      </c>
      <c r="C89" s="60" t="s">
        <v>401</v>
      </c>
      <c r="D89" s="60" t="s">
        <v>174</v>
      </c>
      <c r="E89" s="60" t="s">
        <v>402</v>
      </c>
      <c r="F89" s="60" t="s">
        <v>176</v>
      </c>
      <c r="G89" s="60" t="s">
        <v>104</v>
      </c>
      <c r="H89" s="60">
        <v>17</v>
      </c>
      <c r="I89" s="60">
        <v>1</v>
      </c>
      <c r="J89" s="60">
        <v>17</v>
      </c>
      <c r="K89" s="12">
        <v>46419</v>
      </c>
      <c r="L89" s="12">
        <v>46423</v>
      </c>
      <c r="M89" s="60" t="s">
        <v>400</v>
      </c>
      <c r="N89" s="60" t="s">
        <v>400</v>
      </c>
      <c r="O89" s="60" t="s">
        <v>111</v>
      </c>
      <c r="P89" s="14" t="s">
        <v>201</v>
      </c>
      <c r="Q89" s="60"/>
      <c r="R89" s="60" t="s">
        <v>106</v>
      </c>
      <c r="S89" s="60" t="s">
        <v>265</v>
      </c>
      <c r="T89" s="13">
        <v>0</v>
      </c>
      <c r="U89" s="60"/>
      <c r="V89" s="60" t="s">
        <v>108</v>
      </c>
      <c r="W89" s="12"/>
      <c r="X89" s="12"/>
      <c r="Y89" s="12"/>
      <c r="Z89" s="35" t="str">
        <f t="shared" si="2"/>
        <v/>
      </c>
      <c r="AA89" s="60"/>
    </row>
    <row r="90" spans="1:27" ht="29" customHeight="1" x14ac:dyDescent="0.35">
      <c r="A90" s="15" t="s">
        <v>15</v>
      </c>
      <c r="B90" s="16" t="s">
        <v>382</v>
      </c>
      <c r="C90" s="16" t="s">
        <v>403</v>
      </c>
      <c r="D90" s="16" t="s">
        <v>101</v>
      </c>
      <c r="E90" s="16" t="s">
        <v>404</v>
      </c>
      <c r="F90" s="16" t="s">
        <v>314</v>
      </c>
      <c r="G90" s="16" t="s">
        <v>231</v>
      </c>
      <c r="H90" s="16">
        <v>17</v>
      </c>
      <c r="I90" s="16">
        <v>1</v>
      </c>
      <c r="J90" s="16">
        <v>17</v>
      </c>
      <c r="K90" s="17">
        <v>46419</v>
      </c>
      <c r="L90" s="17">
        <v>46423</v>
      </c>
      <c r="M90" s="16" t="s">
        <v>405</v>
      </c>
      <c r="N90" s="16" t="s">
        <v>401</v>
      </c>
      <c r="O90" s="16" t="s">
        <v>111</v>
      </c>
      <c r="P90" s="14" t="s">
        <v>201</v>
      </c>
      <c r="Q90" s="16"/>
      <c r="R90" s="16" t="s">
        <v>106</v>
      </c>
      <c r="S90" s="16" t="s">
        <v>316</v>
      </c>
      <c r="T90" s="18">
        <v>0</v>
      </c>
      <c r="U90" s="16"/>
      <c r="V90" s="60" t="s">
        <v>108</v>
      </c>
      <c r="W90" s="12"/>
      <c r="X90" s="12"/>
      <c r="Y90" s="12"/>
      <c r="Z90" s="35" t="str">
        <f t="shared" si="2"/>
        <v/>
      </c>
      <c r="AA90" s="60"/>
    </row>
    <row r="91" spans="1:27" ht="29" customHeight="1" x14ac:dyDescent="0.35">
      <c r="A91" s="7" t="s">
        <v>19</v>
      </c>
      <c r="B91" s="60" t="s">
        <v>382</v>
      </c>
      <c r="C91" s="60" t="s">
        <v>406</v>
      </c>
      <c r="D91" s="60" t="s">
        <v>174</v>
      </c>
      <c r="E91" s="60" t="s">
        <v>407</v>
      </c>
      <c r="F91" s="60" t="s">
        <v>367</v>
      </c>
      <c r="G91" s="60" t="s">
        <v>272</v>
      </c>
      <c r="H91" s="60">
        <v>18</v>
      </c>
      <c r="I91" s="60">
        <v>1</v>
      </c>
      <c r="J91" s="60">
        <v>18</v>
      </c>
      <c r="K91" s="12">
        <v>46426</v>
      </c>
      <c r="L91" s="12">
        <v>46430</v>
      </c>
      <c r="M91" s="60" t="s">
        <v>403</v>
      </c>
      <c r="N91" s="60" t="s">
        <v>403</v>
      </c>
      <c r="O91" s="60" t="s">
        <v>111</v>
      </c>
      <c r="P91" s="14" t="s">
        <v>201</v>
      </c>
      <c r="Q91" s="60" t="s">
        <v>273</v>
      </c>
      <c r="R91" s="60" t="s">
        <v>106</v>
      </c>
      <c r="S91" s="60" t="s">
        <v>408</v>
      </c>
      <c r="T91" s="13">
        <v>0</v>
      </c>
      <c r="U91" s="60"/>
      <c r="V91" s="60" t="s">
        <v>108</v>
      </c>
      <c r="W91" s="12"/>
      <c r="X91" s="12"/>
      <c r="Y91" s="12"/>
      <c r="Z91" s="35" t="str">
        <f t="shared" si="2"/>
        <v/>
      </c>
      <c r="AA91" s="60"/>
    </row>
    <row r="92" spans="1:27" ht="29" customHeight="1" x14ac:dyDescent="0.35">
      <c r="A92" s="7" t="s">
        <v>19</v>
      </c>
      <c r="B92" s="60" t="s">
        <v>382</v>
      </c>
      <c r="C92" s="60" t="s">
        <v>409</v>
      </c>
      <c r="D92" s="60" t="s">
        <v>174</v>
      </c>
      <c r="E92" s="60" t="s">
        <v>410</v>
      </c>
      <c r="F92" s="60" t="s">
        <v>367</v>
      </c>
      <c r="G92" s="60" t="s">
        <v>272</v>
      </c>
      <c r="H92" s="60">
        <v>19</v>
      </c>
      <c r="I92" s="60">
        <v>1</v>
      </c>
      <c r="J92" s="60">
        <v>19</v>
      </c>
      <c r="K92" s="12">
        <v>46433</v>
      </c>
      <c r="L92" s="12">
        <v>46437</v>
      </c>
      <c r="M92" s="60" t="s">
        <v>406</v>
      </c>
      <c r="N92" s="60" t="s">
        <v>406</v>
      </c>
      <c r="O92" s="60" t="s">
        <v>111</v>
      </c>
      <c r="P92" s="14" t="s">
        <v>201</v>
      </c>
      <c r="Q92" s="60" t="s">
        <v>273</v>
      </c>
      <c r="R92" s="60" t="s">
        <v>106</v>
      </c>
      <c r="S92" s="60" t="s">
        <v>411</v>
      </c>
      <c r="T92" s="13">
        <v>0</v>
      </c>
      <c r="U92" s="60"/>
      <c r="V92" s="60" t="s">
        <v>108</v>
      </c>
      <c r="W92" s="12"/>
      <c r="X92" s="12"/>
      <c r="Y92" s="12"/>
      <c r="Z92" s="35" t="str">
        <f t="shared" si="2"/>
        <v/>
      </c>
      <c r="AA92" s="60"/>
    </row>
    <row r="93" spans="1:27" ht="29" customHeight="1" x14ac:dyDescent="0.35">
      <c r="A93" s="7" t="s">
        <v>19</v>
      </c>
      <c r="B93" s="60" t="s">
        <v>382</v>
      </c>
      <c r="C93" s="60" t="s">
        <v>412</v>
      </c>
      <c r="D93" s="60" t="s">
        <v>174</v>
      </c>
      <c r="E93" s="60" t="s">
        <v>413</v>
      </c>
      <c r="F93" s="60" t="s">
        <v>271</v>
      </c>
      <c r="G93" s="60" t="s">
        <v>104</v>
      </c>
      <c r="H93" s="60">
        <v>19</v>
      </c>
      <c r="I93" s="60">
        <v>3</v>
      </c>
      <c r="J93" s="60">
        <v>21</v>
      </c>
      <c r="K93" s="12">
        <v>46433</v>
      </c>
      <c r="L93" s="12">
        <v>46451</v>
      </c>
      <c r="M93" s="60" t="s">
        <v>406</v>
      </c>
      <c r="N93" s="60" t="s">
        <v>406</v>
      </c>
      <c r="O93" s="60" t="s">
        <v>111</v>
      </c>
      <c r="P93" s="14" t="s">
        <v>201</v>
      </c>
      <c r="Q93" s="60"/>
      <c r="R93" s="60" t="s">
        <v>106</v>
      </c>
      <c r="S93" s="60" t="s">
        <v>323</v>
      </c>
      <c r="T93" s="13">
        <v>0</v>
      </c>
      <c r="U93" s="60"/>
      <c r="V93" s="60" t="s">
        <v>108</v>
      </c>
      <c r="W93" s="12"/>
      <c r="X93" s="12"/>
      <c r="Y93" s="12"/>
      <c r="Z93" s="35" t="str">
        <f t="shared" si="2"/>
        <v/>
      </c>
      <c r="AA93" s="60"/>
    </row>
    <row r="94" spans="1:27" ht="29" customHeight="1" x14ac:dyDescent="0.35">
      <c r="A94" s="7" t="s">
        <v>19</v>
      </c>
      <c r="B94" s="60" t="s">
        <v>382</v>
      </c>
      <c r="C94" s="60" t="s">
        <v>414</v>
      </c>
      <c r="D94" s="60" t="s">
        <v>174</v>
      </c>
      <c r="E94" s="60" t="s">
        <v>415</v>
      </c>
      <c r="F94" s="60" t="s">
        <v>280</v>
      </c>
      <c r="G94" s="60" t="s">
        <v>281</v>
      </c>
      <c r="H94" s="60">
        <v>20</v>
      </c>
      <c r="I94" s="60">
        <v>1</v>
      </c>
      <c r="J94" s="60">
        <v>20</v>
      </c>
      <c r="K94" s="12">
        <v>46440</v>
      </c>
      <c r="L94" s="12">
        <v>46444</v>
      </c>
      <c r="M94" s="60" t="s">
        <v>409</v>
      </c>
      <c r="N94" s="60" t="s">
        <v>409</v>
      </c>
      <c r="O94" s="60" t="s">
        <v>111</v>
      </c>
      <c r="P94" s="14" t="s">
        <v>201</v>
      </c>
      <c r="Q94" s="60" t="s">
        <v>273</v>
      </c>
      <c r="R94" s="60" t="s">
        <v>106</v>
      </c>
      <c r="S94" s="60" t="s">
        <v>282</v>
      </c>
      <c r="T94" s="13">
        <v>0</v>
      </c>
      <c r="U94" s="60"/>
      <c r="V94" s="60" t="s">
        <v>108</v>
      </c>
      <c r="W94" s="12"/>
      <c r="X94" s="12"/>
      <c r="Y94" s="12"/>
      <c r="Z94" s="35" t="str">
        <f t="shared" si="2"/>
        <v/>
      </c>
      <c r="AA94" s="60"/>
    </row>
    <row r="95" spans="1:27" ht="29" customHeight="1" x14ac:dyDescent="0.35">
      <c r="A95" s="7" t="s">
        <v>19</v>
      </c>
      <c r="B95" s="60" t="s">
        <v>382</v>
      </c>
      <c r="C95" s="60" t="s">
        <v>416</v>
      </c>
      <c r="D95" s="60" t="s">
        <v>174</v>
      </c>
      <c r="E95" s="60" t="s">
        <v>417</v>
      </c>
      <c r="F95" s="60" t="s">
        <v>308</v>
      </c>
      <c r="G95" s="60" t="s">
        <v>104</v>
      </c>
      <c r="H95" s="60">
        <v>21</v>
      </c>
      <c r="I95" s="60">
        <v>1</v>
      </c>
      <c r="J95" s="60">
        <v>21</v>
      </c>
      <c r="K95" s="12">
        <v>46447</v>
      </c>
      <c r="L95" s="12">
        <v>46451</v>
      </c>
      <c r="M95" s="60" t="s">
        <v>412</v>
      </c>
      <c r="N95" s="60" t="s">
        <v>412</v>
      </c>
      <c r="O95" s="60" t="s">
        <v>111</v>
      </c>
      <c r="P95" s="60" t="s">
        <v>105</v>
      </c>
      <c r="Q95" s="60"/>
      <c r="R95" s="60" t="s">
        <v>106</v>
      </c>
      <c r="S95" s="60" t="s">
        <v>328</v>
      </c>
      <c r="T95" s="13">
        <v>0</v>
      </c>
      <c r="U95" s="60"/>
      <c r="V95" s="60" t="s">
        <v>108</v>
      </c>
      <c r="W95" s="12"/>
      <c r="X95" s="12"/>
      <c r="Y95" s="12"/>
      <c r="Z95" s="35" t="str">
        <f t="shared" si="2"/>
        <v/>
      </c>
      <c r="AA95" s="60"/>
    </row>
    <row r="96" spans="1:27" ht="29" customHeight="1" x14ac:dyDescent="0.35">
      <c r="A96" s="15" t="s">
        <v>19</v>
      </c>
      <c r="B96" s="16" t="s">
        <v>382</v>
      </c>
      <c r="C96" s="16" t="s">
        <v>66</v>
      </c>
      <c r="D96" s="16" t="s">
        <v>101</v>
      </c>
      <c r="E96" s="16" t="s">
        <v>418</v>
      </c>
      <c r="F96" s="16" t="s">
        <v>330</v>
      </c>
      <c r="G96" s="16" t="s">
        <v>231</v>
      </c>
      <c r="H96" s="16">
        <v>21</v>
      </c>
      <c r="I96" s="16">
        <v>1</v>
      </c>
      <c r="J96" s="16">
        <v>21</v>
      </c>
      <c r="K96" s="17">
        <v>46447</v>
      </c>
      <c r="L96" s="17">
        <v>46451</v>
      </c>
      <c r="M96" s="16" t="s">
        <v>419</v>
      </c>
      <c r="N96" s="16" t="s">
        <v>416</v>
      </c>
      <c r="O96" s="16" t="s">
        <v>111</v>
      </c>
      <c r="P96" s="14" t="s">
        <v>201</v>
      </c>
      <c r="Q96" s="16"/>
      <c r="R96" s="16" t="s">
        <v>106</v>
      </c>
      <c r="S96" s="16" t="s">
        <v>332</v>
      </c>
      <c r="T96" s="18">
        <v>0</v>
      </c>
      <c r="U96" s="16"/>
      <c r="V96" s="60" t="s">
        <v>108</v>
      </c>
      <c r="W96" s="12"/>
      <c r="X96" s="12"/>
      <c r="Y96" s="12"/>
      <c r="Z96" s="35" t="str">
        <f t="shared" si="2"/>
        <v/>
      </c>
      <c r="AA96" s="60"/>
    </row>
    <row r="97" spans="1:27" ht="29" customHeight="1" x14ac:dyDescent="0.35">
      <c r="A97" s="7" t="s">
        <v>22</v>
      </c>
      <c r="B97" s="60" t="s">
        <v>382</v>
      </c>
      <c r="C97" s="60" t="s">
        <v>420</v>
      </c>
      <c r="D97" s="60" t="s">
        <v>169</v>
      </c>
      <c r="E97" s="60" t="s">
        <v>421</v>
      </c>
      <c r="F97" s="60" t="s">
        <v>248</v>
      </c>
      <c r="G97" s="60" t="s">
        <v>104</v>
      </c>
      <c r="H97" s="60">
        <v>22</v>
      </c>
      <c r="I97" s="60">
        <v>2</v>
      </c>
      <c r="J97" s="60">
        <v>23</v>
      </c>
      <c r="K97" s="12">
        <v>46454</v>
      </c>
      <c r="L97" s="12">
        <v>46465</v>
      </c>
      <c r="M97" s="60" t="s">
        <v>66</v>
      </c>
      <c r="N97" s="60" t="s">
        <v>66</v>
      </c>
      <c r="O97" s="60" t="s">
        <v>111</v>
      </c>
      <c r="P97" s="60" t="s">
        <v>105</v>
      </c>
      <c r="Q97" s="60"/>
      <c r="R97" s="60" t="s">
        <v>106</v>
      </c>
      <c r="S97" s="60" t="s">
        <v>335</v>
      </c>
      <c r="T97" s="13">
        <v>0</v>
      </c>
      <c r="U97" s="60"/>
      <c r="V97" s="60" t="s">
        <v>108</v>
      </c>
      <c r="W97" s="12"/>
      <c r="X97" s="12"/>
      <c r="Y97" s="12"/>
      <c r="Z97" s="35" t="str">
        <f t="shared" si="2"/>
        <v/>
      </c>
      <c r="AA97" s="60"/>
    </row>
    <row r="98" spans="1:27" ht="29" customHeight="1" x14ac:dyDescent="0.35">
      <c r="A98" s="7" t="s">
        <v>22</v>
      </c>
      <c r="B98" s="60" t="s">
        <v>422</v>
      </c>
      <c r="C98" s="60" t="s">
        <v>423</v>
      </c>
      <c r="D98" s="60" t="s">
        <v>174</v>
      </c>
      <c r="E98" s="60" t="s">
        <v>424</v>
      </c>
      <c r="F98" s="60" t="s">
        <v>280</v>
      </c>
      <c r="G98" s="60" t="s">
        <v>281</v>
      </c>
      <c r="H98" s="60">
        <v>22</v>
      </c>
      <c r="I98" s="60">
        <v>2</v>
      </c>
      <c r="J98" s="60">
        <v>23</v>
      </c>
      <c r="K98" s="12">
        <v>46454</v>
      </c>
      <c r="L98" s="12">
        <v>46465</v>
      </c>
      <c r="M98" s="60" t="s">
        <v>66</v>
      </c>
      <c r="N98" s="60" t="s">
        <v>66</v>
      </c>
      <c r="O98" s="60" t="s">
        <v>111</v>
      </c>
      <c r="P98" s="14" t="s">
        <v>201</v>
      </c>
      <c r="Q98" s="60" t="s">
        <v>273</v>
      </c>
      <c r="R98" s="60" t="s">
        <v>106</v>
      </c>
      <c r="S98" s="60" t="s">
        <v>425</v>
      </c>
      <c r="T98" s="13">
        <v>0</v>
      </c>
      <c r="U98" s="60"/>
      <c r="V98" s="60" t="s">
        <v>108</v>
      </c>
      <c r="W98" s="12"/>
      <c r="X98" s="12"/>
      <c r="Y98" s="12"/>
      <c r="Z98" s="35" t="str">
        <f t="shared" si="2"/>
        <v/>
      </c>
      <c r="AA98" s="60"/>
    </row>
    <row r="99" spans="1:27" ht="29" customHeight="1" x14ac:dyDescent="0.35">
      <c r="A99" s="7" t="s">
        <v>22</v>
      </c>
      <c r="B99" s="60" t="s">
        <v>422</v>
      </c>
      <c r="C99" s="60" t="s">
        <v>426</v>
      </c>
      <c r="D99" s="60" t="s">
        <v>174</v>
      </c>
      <c r="E99" s="60" t="s">
        <v>427</v>
      </c>
      <c r="F99" s="60" t="s">
        <v>176</v>
      </c>
      <c r="G99" s="60" t="s">
        <v>104</v>
      </c>
      <c r="H99" s="60">
        <v>22</v>
      </c>
      <c r="I99" s="60">
        <v>3</v>
      </c>
      <c r="J99" s="60">
        <v>24</v>
      </c>
      <c r="K99" s="12">
        <v>46454</v>
      </c>
      <c r="L99" s="12">
        <v>46472</v>
      </c>
      <c r="M99" s="60" t="s">
        <v>66</v>
      </c>
      <c r="N99" s="60" t="s">
        <v>66</v>
      </c>
      <c r="O99" s="60" t="s">
        <v>111</v>
      </c>
      <c r="P99" s="60" t="s">
        <v>105</v>
      </c>
      <c r="Q99" s="60"/>
      <c r="R99" s="60" t="s">
        <v>106</v>
      </c>
      <c r="S99" s="60" t="s">
        <v>428</v>
      </c>
      <c r="T99" s="13">
        <v>0</v>
      </c>
      <c r="U99" s="60"/>
      <c r="V99" s="60" t="s">
        <v>108</v>
      </c>
      <c r="W99" s="12"/>
      <c r="X99" s="12"/>
      <c r="Y99" s="12"/>
      <c r="Z99" s="35" t="str">
        <f t="shared" si="2"/>
        <v/>
      </c>
      <c r="AA99" s="60"/>
    </row>
    <row r="100" spans="1:27" ht="29" customHeight="1" x14ac:dyDescent="0.35">
      <c r="A100" s="7" t="s">
        <v>22</v>
      </c>
      <c r="B100" s="60" t="s">
        <v>422</v>
      </c>
      <c r="C100" s="60" t="s">
        <v>429</v>
      </c>
      <c r="D100" s="60" t="s">
        <v>174</v>
      </c>
      <c r="E100" s="60" t="s">
        <v>430</v>
      </c>
      <c r="F100" s="60" t="s">
        <v>308</v>
      </c>
      <c r="G100" s="60" t="s">
        <v>104</v>
      </c>
      <c r="H100" s="60">
        <v>22</v>
      </c>
      <c r="I100" s="60">
        <v>1</v>
      </c>
      <c r="J100" s="60">
        <v>22</v>
      </c>
      <c r="K100" s="12">
        <v>46454</v>
      </c>
      <c r="L100" s="12">
        <v>46458</v>
      </c>
      <c r="M100" s="60" t="s">
        <v>416</v>
      </c>
      <c r="N100" s="60" t="s">
        <v>416</v>
      </c>
      <c r="O100" s="60" t="s">
        <v>111</v>
      </c>
      <c r="P100" s="60" t="s">
        <v>105</v>
      </c>
      <c r="Q100" s="60"/>
      <c r="R100" s="60" t="s">
        <v>106</v>
      </c>
      <c r="S100" s="60" t="s">
        <v>431</v>
      </c>
      <c r="T100" s="13">
        <v>0</v>
      </c>
      <c r="U100" s="60"/>
      <c r="V100" s="60" t="s">
        <v>108</v>
      </c>
      <c r="W100" s="12"/>
      <c r="X100" s="12"/>
      <c r="Y100" s="12"/>
      <c r="Z100" s="35" t="str">
        <f t="shared" si="2"/>
        <v/>
      </c>
      <c r="AA100" s="60"/>
    </row>
    <row r="101" spans="1:27" ht="29" customHeight="1" x14ac:dyDescent="0.35">
      <c r="A101" s="7" t="s">
        <v>22</v>
      </c>
      <c r="B101" s="60" t="s">
        <v>422</v>
      </c>
      <c r="C101" s="60" t="s">
        <v>432</v>
      </c>
      <c r="D101" s="60" t="s">
        <v>174</v>
      </c>
      <c r="E101" s="60" t="s">
        <v>433</v>
      </c>
      <c r="F101" s="60" t="s">
        <v>176</v>
      </c>
      <c r="G101" s="60" t="s">
        <v>104</v>
      </c>
      <c r="H101" s="60">
        <v>22</v>
      </c>
      <c r="I101" s="60">
        <v>4</v>
      </c>
      <c r="J101" s="60">
        <v>25</v>
      </c>
      <c r="K101" s="12">
        <v>46454</v>
      </c>
      <c r="L101" s="12">
        <v>46479</v>
      </c>
      <c r="M101" s="60" t="s">
        <v>66</v>
      </c>
      <c r="N101" s="60" t="s">
        <v>66</v>
      </c>
      <c r="O101" s="60" t="s">
        <v>111</v>
      </c>
      <c r="P101" s="60" t="s">
        <v>105</v>
      </c>
      <c r="Q101" s="60"/>
      <c r="R101" s="60" t="s">
        <v>106</v>
      </c>
      <c r="S101" s="60" t="s">
        <v>434</v>
      </c>
      <c r="T101" s="13">
        <v>0</v>
      </c>
      <c r="U101" s="60"/>
      <c r="V101" s="60" t="s">
        <v>108</v>
      </c>
      <c r="W101" s="12"/>
      <c r="X101" s="12"/>
      <c r="Y101" s="12"/>
      <c r="Z101" s="35" t="str">
        <f t="shared" ref="Z101:Z132" si="3">IF(Y101&lt;&gt;"",Y101-L101,IF(X101&lt;&gt;"",X101-L101,""))</f>
        <v/>
      </c>
      <c r="AA101" s="60"/>
    </row>
    <row r="102" spans="1:27" ht="29" customHeight="1" x14ac:dyDescent="0.35">
      <c r="A102" s="7" t="s">
        <v>22</v>
      </c>
      <c r="B102" s="60" t="s">
        <v>422</v>
      </c>
      <c r="C102" s="60" t="s">
        <v>435</v>
      </c>
      <c r="D102" s="60" t="s">
        <v>156</v>
      </c>
      <c r="E102" s="60" t="s">
        <v>436</v>
      </c>
      <c r="F102" s="60" t="s">
        <v>437</v>
      </c>
      <c r="G102" s="60" t="s">
        <v>104</v>
      </c>
      <c r="H102" s="60">
        <v>22</v>
      </c>
      <c r="I102" s="60">
        <v>3</v>
      </c>
      <c r="J102" s="60">
        <v>24</v>
      </c>
      <c r="K102" s="12">
        <v>46454</v>
      </c>
      <c r="L102" s="12">
        <v>46472</v>
      </c>
      <c r="M102" s="60" t="s">
        <v>66</v>
      </c>
      <c r="N102" s="60" t="s">
        <v>66</v>
      </c>
      <c r="O102" s="60" t="s">
        <v>111</v>
      </c>
      <c r="P102" s="60" t="s">
        <v>105</v>
      </c>
      <c r="Q102" s="60"/>
      <c r="R102" s="60" t="s">
        <v>106</v>
      </c>
      <c r="S102" s="60" t="s">
        <v>438</v>
      </c>
      <c r="T102" s="13">
        <v>0</v>
      </c>
      <c r="U102" s="60"/>
      <c r="V102" s="60" t="s">
        <v>108</v>
      </c>
      <c r="W102" s="12"/>
      <c r="X102" s="12"/>
      <c r="Y102" s="12"/>
      <c r="Z102" s="35" t="str">
        <f t="shared" si="3"/>
        <v/>
      </c>
      <c r="AA102" s="60"/>
    </row>
    <row r="103" spans="1:27" ht="29" customHeight="1" x14ac:dyDescent="0.35">
      <c r="A103" s="15" t="s">
        <v>22</v>
      </c>
      <c r="B103" s="16" t="s">
        <v>422</v>
      </c>
      <c r="C103" s="16" t="s">
        <v>439</v>
      </c>
      <c r="D103" s="16" t="s">
        <v>101</v>
      </c>
      <c r="E103" s="16" t="s">
        <v>440</v>
      </c>
      <c r="F103" s="16" t="s">
        <v>441</v>
      </c>
      <c r="G103" s="16" t="s">
        <v>231</v>
      </c>
      <c r="H103" s="16">
        <v>24</v>
      </c>
      <c r="I103" s="16">
        <v>1</v>
      </c>
      <c r="J103" s="16">
        <v>24</v>
      </c>
      <c r="K103" s="17">
        <v>46468</v>
      </c>
      <c r="L103" s="17">
        <v>46472</v>
      </c>
      <c r="M103" s="16" t="s">
        <v>423</v>
      </c>
      <c r="N103" s="16" t="s">
        <v>423</v>
      </c>
      <c r="O103" s="16" t="s">
        <v>111</v>
      </c>
      <c r="P103" s="14" t="s">
        <v>201</v>
      </c>
      <c r="Q103" s="16"/>
      <c r="R103" s="16" t="s">
        <v>106</v>
      </c>
      <c r="S103" s="16" t="s">
        <v>442</v>
      </c>
      <c r="T103" s="18">
        <v>0</v>
      </c>
      <c r="U103" s="16"/>
      <c r="V103" s="60" t="s">
        <v>108</v>
      </c>
      <c r="W103" s="12"/>
      <c r="X103" s="12"/>
      <c r="Y103" s="12"/>
      <c r="Z103" s="35" t="str">
        <f t="shared" si="3"/>
        <v/>
      </c>
      <c r="AA103" s="60"/>
    </row>
    <row r="104" spans="1:27" ht="29" customHeight="1" x14ac:dyDescent="0.35">
      <c r="A104" s="7" t="s">
        <v>22</v>
      </c>
      <c r="B104" s="60" t="s">
        <v>422</v>
      </c>
      <c r="C104" s="60" t="s">
        <v>443</v>
      </c>
      <c r="D104" s="60" t="s">
        <v>169</v>
      </c>
      <c r="E104" s="60" t="s">
        <v>444</v>
      </c>
      <c r="F104" s="60" t="s">
        <v>445</v>
      </c>
      <c r="G104" s="60" t="s">
        <v>104</v>
      </c>
      <c r="H104" s="60">
        <v>23</v>
      </c>
      <c r="I104" s="60">
        <v>1</v>
      </c>
      <c r="J104" s="60">
        <v>23</v>
      </c>
      <c r="K104" s="12">
        <v>46461</v>
      </c>
      <c r="L104" s="12">
        <v>46465</v>
      </c>
      <c r="M104" s="60" t="s">
        <v>435</v>
      </c>
      <c r="N104" s="60" t="s">
        <v>435</v>
      </c>
      <c r="O104" s="60" t="s">
        <v>149</v>
      </c>
      <c r="P104" s="14" t="s">
        <v>201</v>
      </c>
      <c r="Q104" s="60"/>
      <c r="R104" s="60" t="s">
        <v>106</v>
      </c>
      <c r="S104" s="60" t="s">
        <v>446</v>
      </c>
      <c r="T104" s="13">
        <v>0</v>
      </c>
      <c r="U104" s="60"/>
      <c r="V104" s="60" t="s">
        <v>108</v>
      </c>
      <c r="W104" s="12"/>
      <c r="X104" s="12"/>
      <c r="Y104" s="12"/>
      <c r="Z104" s="35" t="str">
        <f t="shared" si="3"/>
        <v/>
      </c>
      <c r="AA104" s="60"/>
    </row>
    <row r="105" spans="1:27" ht="29" customHeight="1" x14ac:dyDescent="0.35">
      <c r="A105" s="7" t="s">
        <v>22</v>
      </c>
      <c r="B105" s="60" t="s">
        <v>422</v>
      </c>
      <c r="C105" s="60" t="s">
        <v>447</v>
      </c>
      <c r="D105" s="60" t="s">
        <v>101</v>
      </c>
      <c r="E105" s="60" t="s">
        <v>448</v>
      </c>
      <c r="F105" s="60" t="s">
        <v>449</v>
      </c>
      <c r="G105" s="60" t="s">
        <v>104</v>
      </c>
      <c r="H105" s="60">
        <v>23</v>
      </c>
      <c r="I105" s="60">
        <v>3</v>
      </c>
      <c r="J105" s="60">
        <v>25</v>
      </c>
      <c r="K105" s="12">
        <v>46461</v>
      </c>
      <c r="L105" s="12">
        <v>46479</v>
      </c>
      <c r="M105" s="60" t="s">
        <v>66</v>
      </c>
      <c r="N105" s="60" t="s">
        <v>66</v>
      </c>
      <c r="O105" s="60" t="s">
        <v>111</v>
      </c>
      <c r="P105" s="60" t="s">
        <v>105</v>
      </c>
      <c r="Q105" s="60"/>
      <c r="R105" s="60" t="s">
        <v>106</v>
      </c>
      <c r="S105" s="60" t="s">
        <v>450</v>
      </c>
      <c r="T105" s="13">
        <v>0</v>
      </c>
      <c r="U105" s="60"/>
      <c r="V105" s="60" t="s">
        <v>108</v>
      </c>
      <c r="W105" s="12"/>
      <c r="X105" s="12"/>
      <c r="Y105" s="12"/>
      <c r="Z105" s="35" t="str">
        <f t="shared" si="3"/>
        <v/>
      </c>
      <c r="AA105" s="60"/>
    </row>
    <row r="106" spans="1:27" ht="29" customHeight="1" x14ac:dyDescent="0.35">
      <c r="A106" s="7" t="s">
        <v>22</v>
      </c>
      <c r="B106" s="60" t="s">
        <v>422</v>
      </c>
      <c r="C106" s="60" t="s">
        <v>451</v>
      </c>
      <c r="D106" s="60" t="s">
        <v>194</v>
      </c>
      <c r="E106" s="60" t="s">
        <v>452</v>
      </c>
      <c r="F106" s="60" t="s">
        <v>205</v>
      </c>
      <c r="G106" s="60" t="s">
        <v>104</v>
      </c>
      <c r="H106" s="60">
        <v>24</v>
      </c>
      <c r="I106" s="60">
        <v>2</v>
      </c>
      <c r="J106" s="60">
        <v>25</v>
      </c>
      <c r="K106" s="12">
        <v>46468</v>
      </c>
      <c r="L106" s="12">
        <v>46479</v>
      </c>
      <c r="M106" s="60" t="s">
        <v>423</v>
      </c>
      <c r="N106" s="60" t="s">
        <v>423</v>
      </c>
      <c r="O106" s="60" t="s">
        <v>111</v>
      </c>
      <c r="P106" s="60" t="s">
        <v>105</v>
      </c>
      <c r="Q106" s="60"/>
      <c r="R106" s="60" t="s">
        <v>106</v>
      </c>
      <c r="S106" s="60" t="s">
        <v>453</v>
      </c>
      <c r="T106" s="13">
        <v>0</v>
      </c>
      <c r="U106" s="60"/>
      <c r="V106" s="60" t="s">
        <v>108</v>
      </c>
      <c r="W106" s="12"/>
      <c r="X106" s="12"/>
      <c r="Y106" s="12"/>
      <c r="Z106" s="35" t="str">
        <f t="shared" si="3"/>
        <v/>
      </c>
      <c r="AA106" s="60"/>
    </row>
    <row r="107" spans="1:27" ht="29" customHeight="1" x14ac:dyDescent="0.35">
      <c r="A107" s="15" t="s">
        <v>22</v>
      </c>
      <c r="B107" s="16" t="s">
        <v>422</v>
      </c>
      <c r="C107" s="16" t="s">
        <v>454</v>
      </c>
      <c r="D107" s="16" t="s">
        <v>101</v>
      </c>
      <c r="E107" s="16" t="s">
        <v>455</v>
      </c>
      <c r="F107" s="16" t="s">
        <v>456</v>
      </c>
      <c r="G107" s="16" t="s">
        <v>231</v>
      </c>
      <c r="H107" s="16">
        <v>24</v>
      </c>
      <c r="I107" s="16">
        <v>1</v>
      </c>
      <c r="J107" s="16">
        <v>24</v>
      </c>
      <c r="K107" s="17">
        <v>46468</v>
      </c>
      <c r="L107" s="17">
        <v>46472</v>
      </c>
      <c r="M107" s="16" t="s">
        <v>457</v>
      </c>
      <c r="N107" s="16" t="s">
        <v>443</v>
      </c>
      <c r="O107" s="16" t="s">
        <v>111</v>
      </c>
      <c r="P107" s="14" t="s">
        <v>201</v>
      </c>
      <c r="Q107" s="16"/>
      <c r="R107" s="16" t="s">
        <v>106</v>
      </c>
      <c r="S107" s="16" t="s">
        <v>458</v>
      </c>
      <c r="T107" s="18">
        <v>0</v>
      </c>
      <c r="U107" s="16"/>
      <c r="V107" s="60" t="s">
        <v>108</v>
      </c>
      <c r="W107" s="12"/>
      <c r="X107" s="12"/>
      <c r="Y107" s="12"/>
      <c r="Z107" s="35" t="str">
        <f t="shared" si="3"/>
        <v/>
      </c>
      <c r="AA107" s="60"/>
    </row>
    <row r="108" spans="1:27" ht="29" customHeight="1" x14ac:dyDescent="0.35">
      <c r="A108" s="7" t="s">
        <v>22</v>
      </c>
      <c r="B108" s="60" t="s">
        <v>422</v>
      </c>
      <c r="C108" s="60" t="s">
        <v>459</v>
      </c>
      <c r="D108" s="60" t="s">
        <v>169</v>
      </c>
      <c r="E108" s="60" t="s">
        <v>460</v>
      </c>
      <c r="F108" s="60" t="s">
        <v>183</v>
      </c>
      <c r="G108" s="60" t="s">
        <v>104</v>
      </c>
      <c r="H108" s="60">
        <v>25</v>
      </c>
      <c r="I108" s="60">
        <v>2</v>
      </c>
      <c r="J108" s="60">
        <v>26</v>
      </c>
      <c r="K108" s="12">
        <v>46475</v>
      </c>
      <c r="L108" s="12">
        <v>46486</v>
      </c>
      <c r="M108" s="60" t="s">
        <v>454</v>
      </c>
      <c r="N108" s="60" t="s">
        <v>454</v>
      </c>
      <c r="O108" s="60" t="s">
        <v>111</v>
      </c>
      <c r="P108" s="14" t="s">
        <v>201</v>
      </c>
      <c r="Q108" s="60"/>
      <c r="R108" s="60" t="s">
        <v>106</v>
      </c>
      <c r="S108" s="60" t="s">
        <v>461</v>
      </c>
      <c r="T108" s="13">
        <v>0</v>
      </c>
      <c r="U108" s="60"/>
      <c r="V108" s="60" t="s">
        <v>108</v>
      </c>
      <c r="W108" s="12"/>
      <c r="X108" s="12"/>
      <c r="Y108" s="12"/>
      <c r="Z108" s="35" t="str">
        <f t="shared" si="3"/>
        <v/>
      </c>
      <c r="AA108" s="60"/>
    </row>
    <row r="109" spans="1:27" ht="29" customHeight="1" x14ac:dyDescent="0.35">
      <c r="A109" s="7" t="s">
        <v>22</v>
      </c>
      <c r="B109" s="60" t="s">
        <v>422</v>
      </c>
      <c r="C109" s="60" t="s">
        <v>462</v>
      </c>
      <c r="D109" s="60" t="s">
        <v>174</v>
      </c>
      <c r="E109" s="60" t="s">
        <v>463</v>
      </c>
      <c r="F109" s="60" t="s">
        <v>176</v>
      </c>
      <c r="G109" s="60" t="s">
        <v>104</v>
      </c>
      <c r="H109" s="60">
        <v>25</v>
      </c>
      <c r="I109" s="60">
        <v>1</v>
      </c>
      <c r="J109" s="60">
        <v>25</v>
      </c>
      <c r="K109" s="12">
        <v>46475</v>
      </c>
      <c r="L109" s="12">
        <v>46479</v>
      </c>
      <c r="M109" s="60" t="s">
        <v>432</v>
      </c>
      <c r="N109" s="60" t="s">
        <v>432</v>
      </c>
      <c r="O109" s="60" t="s">
        <v>111</v>
      </c>
      <c r="P109" s="14" t="s">
        <v>201</v>
      </c>
      <c r="Q109" s="60"/>
      <c r="R109" s="60" t="s">
        <v>106</v>
      </c>
      <c r="S109" s="60" t="s">
        <v>464</v>
      </c>
      <c r="T109" s="13">
        <v>0</v>
      </c>
      <c r="U109" s="60"/>
      <c r="V109" s="60" t="s">
        <v>108</v>
      </c>
      <c r="W109" s="12"/>
      <c r="X109" s="12"/>
      <c r="Y109" s="12"/>
      <c r="Z109" s="35" t="str">
        <f t="shared" si="3"/>
        <v/>
      </c>
      <c r="AA109" s="60"/>
    </row>
    <row r="110" spans="1:27" ht="29" customHeight="1" x14ac:dyDescent="0.35">
      <c r="A110" s="19" t="s">
        <v>22</v>
      </c>
      <c r="B110" s="20" t="s">
        <v>422</v>
      </c>
      <c r="C110" s="20" t="s">
        <v>70</v>
      </c>
      <c r="D110" s="20" t="s">
        <v>101</v>
      </c>
      <c r="E110" s="20" t="s">
        <v>465</v>
      </c>
      <c r="F110" s="20" t="s">
        <v>71</v>
      </c>
      <c r="G110" s="20" t="s">
        <v>231</v>
      </c>
      <c r="H110" s="20">
        <v>26</v>
      </c>
      <c r="I110" s="20">
        <v>1</v>
      </c>
      <c r="J110" s="20">
        <v>26</v>
      </c>
      <c r="K110" s="21">
        <v>46482</v>
      </c>
      <c r="L110" s="21">
        <v>46486</v>
      </c>
      <c r="M110" s="20" t="s">
        <v>466</v>
      </c>
      <c r="N110" s="20" t="s">
        <v>459</v>
      </c>
      <c r="O110" s="20" t="s">
        <v>111</v>
      </c>
      <c r="P110" s="22" t="s">
        <v>201</v>
      </c>
      <c r="Q110" s="20"/>
      <c r="R110" s="20" t="s">
        <v>106</v>
      </c>
      <c r="S110" s="20" t="s">
        <v>467</v>
      </c>
      <c r="T110" s="23">
        <v>0</v>
      </c>
      <c r="U110" s="16"/>
      <c r="V110" s="60" t="s">
        <v>108</v>
      </c>
      <c r="W110" s="12"/>
      <c r="X110" s="12"/>
      <c r="Y110" s="12"/>
      <c r="Z110" s="35" t="str">
        <f t="shared" si="3"/>
        <v/>
      </c>
      <c r="AA110" s="60"/>
    </row>
  </sheetData>
  <mergeCells count="1">
    <mergeCell ref="A1:U1"/>
  </mergeCells>
  <conditionalFormatting sqref="T4:T110">
    <cfRule type="cellIs" dxfId="7" priority="1" operator="equal">
      <formula>1</formula>
    </cfRule>
  </conditionalFormatting>
  <conditionalFormatting sqref="V5:V110">
    <cfRule type="expression" dxfId="6" priority="2">
      <formula>V5="Red"</formula>
    </cfRule>
    <cfRule type="expression" dxfId="5" priority="3">
      <formula>V5="Amber"</formula>
    </cfRule>
    <cfRule type="expression" dxfId="4" priority="4">
      <formula>V5="Green"</formula>
    </cfRule>
  </conditionalFormatting>
  <dataValidations count="2">
    <dataValidation type="list" sqref="R4:R110" xr:uid="{00000000-0002-0000-0200-000000000000}">
      <formula1>"Not Started,In Progress,Complete,Blocked,At Risk"</formula1>
    </dataValidation>
    <dataValidation type="list" sqref="V5:V110" xr:uid="{00000000-0002-0000-0200-000001000000}">
      <formula1>"Green,Amber,Red"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"/>
  <sheetViews>
    <sheetView showGridLines="0" workbookViewId="0">
      <pane ySplit="3" topLeftCell="A10" activePane="bottomLeft" state="frozen"/>
      <selection pane="bottomLeft" activeCell="A2" sqref="A2"/>
    </sheetView>
  </sheetViews>
  <sheetFormatPr defaultRowHeight="14.5" x14ac:dyDescent="0.35"/>
  <cols>
    <col min="1" max="1" width="12" style="59" customWidth="1"/>
    <col min="2" max="2" width="20" style="59" customWidth="1"/>
    <col min="3" max="3" width="10" style="59" customWidth="1"/>
    <col min="4" max="4" width="14" style="59" customWidth="1"/>
    <col min="5" max="5" width="8" style="59" customWidth="1"/>
    <col min="6" max="6" width="12" style="59" customWidth="1"/>
    <col min="7" max="8" width="16" style="59" customWidth="1"/>
    <col min="9" max="9" width="13" style="59" customWidth="1"/>
    <col min="10" max="11" width="16" style="59" customWidth="1"/>
    <col min="12" max="12" width="12" style="59" customWidth="1"/>
    <col min="13" max="13" width="14" style="59" customWidth="1"/>
    <col min="14" max="14" width="55" style="59" customWidth="1"/>
    <col min="15" max="15" width="18" style="59" customWidth="1"/>
  </cols>
  <sheetData>
    <row r="1" spans="1:15" ht="30" customHeight="1" x14ac:dyDescent="0.35">
      <c r="A1" s="62" t="s">
        <v>468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5">
      <c r="A2" s="30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29" customHeight="1" x14ac:dyDescent="0.35">
      <c r="A3" s="4" t="s">
        <v>469</v>
      </c>
      <c r="B3" s="5" t="s">
        <v>470</v>
      </c>
      <c r="C3" s="5" t="s">
        <v>471</v>
      </c>
      <c r="D3" s="5" t="s">
        <v>472</v>
      </c>
      <c r="E3" s="5" t="s">
        <v>473</v>
      </c>
      <c r="F3" s="5" t="s">
        <v>474</v>
      </c>
      <c r="G3" s="5" t="s">
        <v>475</v>
      </c>
      <c r="H3" s="5" t="s">
        <v>476</v>
      </c>
      <c r="I3" s="5" t="s">
        <v>477</v>
      </c>
      <c r="J3" s="5" t="s">
        <v>478</v>
      </c>
      <c r="K3" s="5" t="s">
        <v>479</v>
      </c>
      <c r="L3" s="5" t="s">
        <v>480</v>
      </c>
      <c r="M3" s="5" t="s">
        <v>481</v>
      </c>
      <c r="N3" s="5" t="s">
        <v>482</v>
      </c>
      <c r="O3" s="6" t="s">
        <v>483</v>
      </c>
    </row>
    <row r="4" spans="1:15" ht="29" customHeight="1" x14ac:dyDescent="0.35">
      <c r="A4" s="7" t="s">
        <v>484</v>
      </c>
      <c r="B4" s="60" t="s">
        <v>485</v>
      </c>
      <c r="C4" s="60" t="s">
        <v>486</v>
      </c>
      <c r="D4" s="60" t="s">
        <v>487</v>
      </c>
      <c r="E4" s="60">
        <v>3</v>
      </c>
      <c r="F4" s="60" t="s">
        <v>488</v>
      </c>
      <c r="G4" s="60" t="s">
        <v>489</v>
      </c>
      <c r="H4" s="60" t="s">
        <v>490</v>
      </c>
      <c r="I4" s="60">
        <v>0.5</v>
      </c>
      <c r="J4" s="60"/>
      <c r="K4" s="60" t="s">
        <v>488</v>
      </c>
      <c r="L4" s="60">
        <v>7</v>
      </c>
      <c r="M4" s="12">
        <v>46349</v>
      </c>
      <c r="N4" s="60" t="s">
        <v>491</v>
      </c>
      <c r="O4" s="8" t="s">
        <v>106</v>
      </c>
    </row>
    <row r="5" spans="1:15" ht="29" customHeight="1" x14ac:dyDescent="0.35">
      <c r="A5" s="7" t="s">
        <v>492</v>
      </c>
      <c r="B5" s="60" t="s">
        <v>493</v>
      </c>
      <c r="C5" s="60" t="s">
        <v>494</v>
      </c>
      <c r="D5" s="60" t="s">
        <v>495</v>
      </c>
      <c r="E5" s="60">
        <v>3</v>
      </c>
      <c r="F5" s="60" t="s">
        <v>488</v>
      </c>
      <c r="G5" s="60" t="s">
        <v>489</v>
      </c>
      <c r="H5" s="60" t="s">
        <v>496</v>
      </c>
      <c r="I5" s="60">
        <v>0.8</v>
      </c>
      <c r="J5" s="60"/>
      <c r="K5" s="60" t="s">
        <v>488</v>
      </c>
      <c r="L5" s="60">
        <v>7</v>
      </c>
      <c r="M5" s="12">
        <v>46349</v>
      </c>
      <c r="N5" s="60" t="s">
        <v>497</v>
      </c>
      <c r="O5" s="8" t="s">
        <v>106</v>
      </c>
    </row>
    <row r="6" spans="1:15" x14ac:dyDescent="0.35">
      <c r="A6" s="7" t="s">
        <v>498</v>
      </c>
      <c r="B6" s="60" t="s">
        <v>499</v>
      </c>
      <c r="C6" s="60" t="s">
        <v>494</v>
      </c>
      <c r="D6" s="60" t="s">
        <v>500</v>
      </c>
      <c r="E6" s="60">
        <v>3</v>
      </c>
      <c r="F6" s="60" t="s">
        <v>488</v>
      </c>
      <c r="G6" s="60" t="s">
        <v>489</v>
      </c>
      <c r="H6" s="60" t="s">
        <v>490</v>
      </c>
      <c r="I6" s="60">
        <v>0.4</v>
      </c>
      <c r="J6" s="60"/>
      <c r="K6" s="60" t="s">
        <v>488</v>
      </c>
      <c r="L6" s="60">
        <v>7</v>
      </c>
      <c r="M6" s="12">
        <v>46349</v>
      </c>
      <c r="N6" s="60" t="s">
        <v>501</v>
      </c>
      <c r="O6" s="8" t="s">
        <v>106</v>
      </c>
    </row>
    <row r="7" spans="1:15" x14ac:dyDescent="0.35">
      <c r="A7" s="7" t="s">
        <v>502</v>
      </c>
      <c r="B7" s="60" t="s">
        <v>503</v>
      </c>
      <c r="C7" s="60" t="s">
        <v>486</v>
      </c>
      <c r="D7" s="60" t="s">
        <v>487</v>
      </c>
      <c r="E7" s="60">
        <v>3</v>
      </c>
      <c r="F7" s="60" t="s">
        <v>504</v>
      </c>
      <c r="G7" s="60" t="s">
        <v>489</v>
      </c>
      <c r="H7" s="60" t="s">
        <v>496</v>
      </c>
      <c r="I7" s="60">
        <v>1</v>
      </c>
      <c r="J7" s="60"/>
      <c r="K7" s="60" t="s">
        <v>505</v>
      </c>
      <c r="L7" s="60">
        <v>10</v>
      </c>
      <c r="M7" s="12">
        <v>46370</v>
      </c>
      <c r="N7" s="60" t="s">
        <v>506</v>
      </c>
      <c r="O7" s="8" t="s">
        <v>106</v>
      </c>
    </row>
    <row r="8" spans="1:15" x14ac:dyDescent="0.35">
      <c r="A8" s="7" t="s">
        <v>507</v>
      </c>
      <c r="B8" s="60" t="s">
        <v>508</v>
      </c>
      <c r="C8" s="60" t="s">
        <v>486</v>
      </c>
      <c r="D8" s="60" t="s">
        <v>495</v>
      </c>
      <c r="E8" s="60">
        <v>2</v>
      </c>
      <c r="F8" s="60" t="s">
        <v>504</v>
      </c>
      <c r="G8" s="60" t="s">
        <v>489</v>
      </c>
      <c r="H8" s="60" t="s">
        <v>490</v>
      </c>
      <c r="I8" s="60">
        <v>1.5</v>
      </c>
      <c r="J8" s="60"/>
      <c r="K8" s="60" t="s">
        <v>505</v>
      </c>
      <c r="L8" s="60">
        <v>10</v>
      </c>
      <c r="M8" s="12">
        <v>46370</v>
      </c>
      <c r="N8" s="60" t="s">
        <v>509</v>
      </c>
      <c r="O8" s="8" t="s">
        <v>106</v>
      </c>
    </row>
    <row r="9" spans="1:15" x14ac:dyDescent="0.35">
      <c r="A9" s="7" t="s">
        <v>510</v>
      </c>
      <c r="B9" s="60" t="s">
        <v>511</v>
      </c>
      <c r="C9" s="60" t="s">
        <v>494</v>
      </c>
      <c r="D9" s="60" t="s">
        <v>495</v>
      </c>
      <c r="E9" s="60">
        <v>3</v>
      </c>
      <c r="F9" s="60" t="s">
        <v>504</v>
      </c>
      <c r="G9" s="60" t="s">
        <v>489</v>
      </c>
      <c r="H9" s="60" t="s">
        <v>496</v>
      </c>
      <c r="I9" s="60">
        <v>0.8</v>
      </c>
      <c r="J9" s="60"/>
      <c r="K9" s="60" t="s">
        <v>505</v>
      </c>
      <c r="L9" s="60">
        <v>10</v>
      </c>
      <c r="M9" s="12">
        <v>46370</v>
      </c>
      <c r="N9" s="60" t="s">
        <v>512</v>
      </c>
      <c r="O9" s="8" t="s">
        <v>106</v>
      </c>
    </row>
    <row r="10" spans="1:15" x14ac:dyDescent="0.35">
      <c r="A10" s="7" t="s">
        <v>513</v>
      </c>
      <c r="B10" s="60" t="s">
        <v>514</v>
      </c>
      <c r="C10" s="60" t="s">
        <v>494</v>
      </c>
      <c r="D10" s="60" t="s">
        <v>487</v>
      </c>
      <c r="E10" s="60">
        <v>3</v>
      </c>
      <c r="F10" s="60" t="s">
        <v>504</v>
      </c>
      <c r="G10" s="60" t="s">
        <v>489</v>
      </c>
      <c r="H10" s="60" t="s">
        <v>490</v>
      </c>
      <c r="I10" s="60">
        <v>0.6</v>
      </c>
      <c r="J10" s="60"/>
      <c r="K10" s="60" t="s">
        <v>505</v>
      </c>
      <c r="L10" s="60">
        <v>10</v>
      </c>
      <c r="M10" s="12">
        <v>46370</v>
      </c>
      <c r="N10" s="60" t="s">
        <v>515</v>
      </c>
      <c r="O10" s="8" t="s">
        <v>106</v>
      </c>
    </row>
    <row r="11" spans="1:15" x14ac:dyDescent="0.35">
      <c r="A11" s="7" t="s">
        <v>516</v>
      </c>
      <c r="B11" s="60" t="s">
        <v>517</v>
      </c>
      <c r="C11" s="60" t="s">
        <v>494</v>
      </c>
      <c r="D11" s="60" t="s">
        <v>500</v>
      </c>
      <c r="E11" s="60">
        <v>3</v>
      </c>
      <c r="F11" s="60" t="s">
        <v>504</v>
      </c>
      <c r="G11" s="60" t="s">
        <v>489</v>
      </c>
      <c r="H11" s="60" t="s">
        <v>496</v>
      </c>
      <c r="I11" s="60">
        <v>0.9</v>
      </c>
      <c r="J11" s="60"/>
      <c r="K11" s="60" t="s">
        <v>505</v>
      </c>
      <c r="L11" s="60">
        <v>10</v>
      </c>
      <c r="M11" s="12">
        <v>46370</v>
      </c>
      <c r="N11" s="60" t="s">
        <v>518</v>
      </c>
      <c r="O11" s="8" t="s">
        <v>106</v>
      </c>
    </row>
    <row r="12" spans="1:15" ht="29" customHeight="1" x14ac:dyDescent="0.35">
      <c r="A12" s="7" t="s">
        <v>519</v>
      </c>
      <c r="B12" s="60" t="s">
        <v>520</v>
      </c>
      <c r="C12" s="60" t="s">
        <v>486</v>
      </c>
      <c r="D12" s="60" t="s">
        <v>487</v>
      </c>
      <c r="E12" s="60">
        <v>2</v>
      </c>
      <c r="F12" s="60" t="s">
        <v>521</v>
      </c>
      <c r="G12" s="60" t="s">
        <v>522</v>
      </c>
      <c r="H12" s="60" t="s">
        <v>490</v>
      </c>
      <c r="I12" s="60">
        <v>4</v>
      </c>
      <c r="J12" s="60" t="s">
        <v>523</v>
      </c>
      <c r="K12" s="60" t="s">
        <v>524</v>
      </c>
      <c r="L12" s="60">
        <v>14</v>
      </c>
      <c r="M12" s="12">
        <v>46398</v>
      </c>
      <c r="N12" s="60" t="s">
        <v>525</v>
      </c>
      <c r="O12" s="8" t="s">
        <v>106</v>
      </c>
    </row>
    <row r="13" spans="1:15" x14ac:dyDescent="0.35">
      <c r="A13" s="7" t="s">
        <v>526</v>
      </c>
      <c r="B13" s="60" t="s">
        <v>527</v>
      </c>
      <c r="C13" s="60" t="s">
        <v>486</v>
      </c>
      <c r="D13" s="60" t="s">
        <v>495</v>
      </c>
      <c r="E13" s="60">
        <v>2</v>
      </c>
      <c r="F13" s="60" t="s">
        <v>521</v>
      </c>
      <c r="G13" s="60" t="s">
        <v>522</v>
      </c>
      <c r="H13" s="60" t="s">
        <v>490</v>
      </c>
      <c r="I13" s="60">
        <v>0</v>
      </c>
      <c r="J13" s="60" t="s">
        <v>523</v>
      </c>
      <c r="K13" s="60" t="s">
        <v>524</v>
      </c>
      <c r="L13" s="60">
        <v>14</v>
      </c>
      <c r="M13" s="12">
        <v>46398</v>
      </c>
      <c r="N13" s="60" t="s">
        <v>528</v>
      </c>
      <c r="O13" s="8" t="s">
        <v>106</v>
      </c>
    </row>
    <row r="14" spans="1:15" x14ac:dyDescent="0.35">
      <c r="A14" s="7" t="s">
        <v>529</v>
      </c>
      <c r="B14" s="60" t="s">
        <v>530</v>
      </c>
      <c r="C14" s="60" t="s">
        <v>494</v>
      </c>
      <c r="D14" s="60" t="s">
        <v>487</v>
      </c>
      <c r="E14" s="60">
        <v>2</v>
      </c>
      <c r="F14" s="60" t="s">
        <v>521</v>
      </c>
      <c r="G14" s="60" t="s">
        <v>531</v>
      </c>
      <c r="H14" s="60" t="s">
        <v>496</v>
      </c>
      <c r="I14" s="60">
        <v>3.5</v>
      </c>
      <c r="J14" s="60" t="s">
        <v>532</v>
      </c>
      <c r="K14" s="60" t="s">
        <v>524</v>
      </c>
      <c r="L14" s="60">
        <v>14</v>
      </c>
      <c r="M14" s="12">
        <v>46398</v>
      </c>
      <c r="N14" s="60" t="s">
        <v>533</v>
      </c>
      <c r="O14" s="8" t="s">
        <v>106</v>
      </c>
    </row>
    <row r="15" spans="1:15" x14ac:dyDescent="0.35">
      <c r="A15" s="7" t="s">
        <v>534</v>
      </c>
      <c r="B15" s="60" t="s">
        <v>535</v>
      </c>
      <c r="C15" s="60" t="s">
        <v>494</v>
      </c>
      <c r="D15" s="60" t="s">
        <v>495</v>
      </c>
      <c r="E15" s="60">
        <v>2</v>
      </c>
      <c r="F15" s="60" t="s">
        <v>521</v>
      </c>
      <c r="G15" s="60" t="s">
        <v>489</v>
      </c>
      <c r="H15" s="60" t="s">
        <v>496</v>
      </c>
      <c r="I15" s="60">
        <v>0</v>
      </c>
      <c r="J15" s="60" t="s">
        <v>532</v>
      </c>
      <c r="K15" s="60" t="s">
        <v>524</v>
      </c>
      <c r="L15" s="60">
        <v>14</v>
      </c>
      <c r="M15" s="12">
        <v>46398</v>
      </c>
      <c r="N15" s="60" t="s">
        <v>536</v>
      </c>
      <c r="O15" s="8" t="s">
        <v>106</v>
      </c>
    </row>
    <row r="16" spans="1:15" x14ac:dyDescent="0.35">
      <c r="A16" s="7" t="s">
        <v>537</v>
      </c>
      <c r="B16" s="60" t="s">
        <v>538</v>
      </c>
      <c r="C16" s="60" t="s">
        <v>486</v>
      </c>
      <c r="D16" s="60" t="s">
        <v>487</v>
      </c>
      <c r="E16" s="60">
        <v>1</v>
      </c>
      <c r="F16" s="60" t="s">
        <v>521</v>
      </c>
      <c r="G16" s="60" t="s">
        <v>531</v>
      </c>
      <c r="H16" s="60" t="s">
        <v>490</v>
      </c>
      <c r="I16" s="60">
        <v>6</v>
      </c>
      <c r="J16" s="60" t="s">
        <v>539</v>
      </c>
      <c r="K16" s="60" t="s">
        <v>540</v>
      </c>
      <c r="L16" s="60">
        <v>15</v>
      </c>
      <c r="M16" s="12">
        <v>46405</v>
      </c>
      <c r="N16" s="60" t="s">
        <v>541</v>
      </c>
      <c r="O16" s="8" t="s">
        <v>106</v>
      </c>
    </row>
    <row r="17" spans="1:15" x14ac:dyDescent="0.35">
      <c r="A17" s="7" t="s">
        <v>542</v>
      </c>
      <c r="B17" s="60" t="s">
        <v>543</v>
      </c>
      <c r="C17" s="60" t="s">
        <v>486</v>
      </c>
      <c r="D17" s="60" t="s">
        <v>495</v>
      </c>
      <c r="E17" s="60">
        <v>1</v>
      </c>
      <c r="F17" s="60" t="s">
        <v>521</v>
      </c>
      <c r="G17" s="60" t="s">
        <v>489</v>
      </c>
      <c r="H17" s="60" t="s">
        <v>496</v>
      </c>
      <c r="I17" s="60">
        <v>0</v>
      </c>
      <c r="J17" s="60" t="s">
        <v>539</v>
      </c>
      <c r="K17" s="60" t="s">
        <v>540</v>
      </c>
      <c r="L17" s="60">
        <v>15</v>
      </c>
      <c r="M17" s="12">
        <v>46405</v>
      </c>
      <c r="N17" s="60" t="s">
        <v>544</v>
      </c>
      <c r="O17" s="8" t="s">
        <v>106</v>
      </c>
    </row>
    <row r="18" spans="1:15" x14ac:dyDescent="0.35">
      <c r="A18" s="7" t="s">
        <v>545</v>
      </c>
      <c r="B18" s="60" t="s">
        <v>546</v>
      </c>
      <c r="C18" s="60" t="s">
        <v>494</v>
      </c>
      <c r="D18" s="60" t="s">
        <v>495</v>
      </c>
      <c r="E18" s="60">
        <v>2</v>
      </c>
      <c r="F18" s="60" t="s">
        <v>547</v>
      </c>
      <c r="G18" s="60" t="s">
        <v>489</v>
      </c>
      <c r="H18" s="60" t="s">
        <v>490</v>
      </c>
      <c r="I18" s="60">
        <v>2.5</v>
      </c>
      <c r="J18" s="60"/>
      <c r="K18" s="60" t="s">
        <v>548</v>
      </c>
      <c r="L18" s="60">
        <v>18</v>
      </c>
      <c r="M18" s="12">
        <v>46426</v>
      </c>
      <c r="N18" s="60" t="s">
        <v>549</v>
      </c>
      <c r="O18" s="8" t="s">
        <v>106</v>
      </c>
    </row>
    <row r="19" spans="1:15" x14ac:dyDescent="0.35">
      <c r="A19" s="7" t="s">
        <v>550</v>
      </c>
      <c r="B19" s="60" t="s">
        <v>551</v>
      </c>
      <c r="C19" s="60" t="s">
        <v>486</v>
      </c>
      <c r="D19" s="60" t="s">
        <v>487</v>
      </c>
      <c r="E19" s="60">
        <v>2</v>
      </c>
      <c r="F19" s="60" t="s">
        <v>547</v>
      </c>
      <c r="G19" s="60" t="s">
        <v>489</v>
      </c>
      <c r="H19" s="60" t="s">
        <v>496</v>
      </c>
      <c r="I19" s="60">
        <v>3</v>
      </c>
      <c r="J19" s="60"/>
      <c r="K19" s="60" t="s">
        <v>548</v>
      </c>
      <c r="L19" s="60">
        <v>18</v>
      </c>
      <c r="M19" s="12">
        <v>46426</v>
      </c>
      <c r="N19" s="60" t="s">
        <v>552</v>
      </c>
      <c r="O19" s="8" t="s">
        <v>106</v>
      </c>
    </row>
    <row r="20" spans="1:15" x14ac:dyDescent="0.35">
      <c r="A20" s="7" t="s">
        <v>553</v>
      </c>
      <c r="B20" s="60" t="s">
        <v>554</v>
      </c>
      <c r="C20" s="60" t="s">
        <v>494</v>
      </c>
      <c r="D20" s="60" t="s">
        <v>500</v>
      </c>
      <c r="E20" s="60">
        <v>2</v>
      </c>
      <c r="F20" s="60" t="s">
        <v>547</v>
      </c>
      <c r="G20" s="60" t="s">
        <v>489</v>
      </c>
      <c r="H20" s="60" t="s">
        <v>490</v>
      </c>
      <c r="I20" s="60">
        <v>1.5</v>
      </c>
      <c r="J20" s="60"/>
      <c r="K20" s="60" t="s">
        <v>548</v>
      </c>
      <c r="L20" s="60">
        <v>18</v>
      </c>
      <c r="M20" s="12">
        <v>46426</v>
      </c>
      <c r="N20" s="60" t="s">
        <v>555</v>
      </c>
      <c r="O20" s="8" t="s">
        <v>106</v>
      </c>
    </row>
    <row r="21" spans="1:15" x14ac:dyDescent="0.35">
      <c r="A21" s="7" t="s">
        <v>556</v>
      </c>
      <c r="B21" s="60" t="s">
        <v>557</v>
      </c>
      <c r="C21" s="60" t="s">
        <v>486</v>
      </c>
      <c r="D21" s="60" t="s">
        <v>487</v>
      </c>
      <c r="E21" s="60">
        <v>1</v>
      </c>
      <c r="F21" s="60" t="s">
        <v>547</v>
      </c>
      <c r="G21" s="60" t="s">
        <v>489</v>
      </c>
      <c r="H21" s="60" t="s">
        <v>496</v>
      </c>
      <c r="I21" s="60">
        <v>7.5</v>
      </c>
      <c r="J21" s="60"/>
      <c r="K21" s="60" t="s">
        <v>558</v>
      </c>
      <c r="L21" s="60">
        <v>19</v>
      </c>
      <c r="M21" s="12">
        <v>46433</v>
      </c>
      <c r="N21" s="60" t="s">
        <v>559</v>
      </c>
      <c r="O21" s="8" t="s">
        <v>106</v>
      </c>
    </row>
    <row r="22" spans="1:15" x14ac:dyDescent="0.35">
      <c r="A22" s="7" t="s">
        <v>560</v>
      </c>
      <c r="B22" s="60" t="s">
        <v>561</v>
      </c>
      <c r="C22" s="60" t="s">
        <v>494</v>
      </c>
      <c r="D22" s="60" t="s">
        <v>495</v>
      </c>
      <c r="E22" s="60">
        <v>1</v>
      </c>
      <c r="F22" s="60" t="s">
        <v>547</v>
      </c>
      <c r="G22" s="60" t="s">
        <v>531</v>
      </c>
      <c r="H22" s="60" t="s">
        <v>490</v>
      </c>
      <c r="I22" s="60">
        <v>4</v>
      </c>
      <c r="J22" s="60"/>
      <c r="K22" s="60" t="s">
        <v>558</v>
      </c>
      <c r="L22" s="60">
        <v>19</v>
      </c>
      <c r="M22" s="12">
        <v>46433</v>
      </c>
      <c r="N22" s="60" t="s">
        <v>562</v>
      </c>
      <c r="O22" s="8" t="s">
        <v>106</v>
      </c>
    </row>
    <row r="23" spans="1:15" x14ac:dyDescent="0.35">
      <c r="A23" s="9" t="s">
        <v>563</v>
      </c>
      <c r="B23" s="10" t="s">
        <v>564</v>
      </c>
      <c r="C23" s="10" t="s">
        <v>486</v>
      </c>
      <c r="D23" s="10" t="s">
        <v>487</v>
      </c>
      <c r="E23" s="10">
        <v>1</v>
      </c>
      <c r="F23" s="10" t="s">
        <v>547</v>
      </c>
      <c r="G23" s="10" t="s">
        <v>489</v>
      </c>
      <c r="H23" s="10" t="s">
        <v>496</v>
      </c>
      <c r="I23" s="10">
        <v>5</v>
      </c>
      <c r="J23" s="10"/>
      <c r="K23" s="10" t="s">
        <v>558</v>
      </c>
      <c r="L23" s="10">
        <v>19</v>
      </c>
      <c r="M23" s="27">
        <v>46433</v>
      </c>
      <c r="N23" s="10" t="s">
        <v>565</v>
      </c>
      <c r="O23" s="11" t="s">
        <v>106</v>
      </c>
    </row>
  </sheetData>
  <mergeCells count="1">
    <mergeCell ref="A1:O1"/>
  </mergeCells>
  <dataValidations count="1">
    <dataValidation type="list" sqref="O4:O23" xr:uid="{00000000-0002-0000-0300-000000000000}">
      <formula1>"Not Started,In Progress,Ready for Cutover,Hypercare,Complete,Blocked"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showGridLines="0" workbookViewId="0">
      <pane ySplit="3" topLeftCell="A4" activePane="bottomLeft" state="frozen"/>
      <selection pane="bottomLeft" activeCell="A17" sqref="A17"/>
    </sheetView>
  </sheetViews>
  <sheetFormatPr defaultRowHeight="14.5" x14ac:dyDescent="0.35"/>
  <cols>
    <col min="1" max="1" width="18" style="59" customWidth="1"/>
    <col min="2" max="2" width="52" style="59" customWidth="1"/>
    <col min="3" max="3" width="14" style="59" customWidth="1"/>
    <col min="4" max="4" width="16" style="59" customWidth="1"/>
    <col min="5" max="5" width="30" style="59" customWidth="1"/>
    <col min="6" max="7" width="12" style="59" customWidth="1"/>
    <col min="8" max="9" width="15" style="59" customWidth="1"/>
    <col min="10" max="10" width="40" style="59" customWidth="1"/>
  </cols>
  <sheetData>
    <row r="1" spans="1:10" ht="30" customHeight="1" x14ac:dyDescent="0.35">
      <c r="A1" s="65" t="s">
        <v>566</v>
      </c>
      <c r="B1" s="63"/>
      <c r="C1" s="63"/>
      <c r="D1" s="63"/>
      <c r="E1" s="63"/>
      <c r="F1" s="63"/>
      <c r="G1" s="63"/>
      <c r="H1" s="63"/>
      <c r="I1" s="63"/>
      <c r="J1" s="63"/>
    </row>
    <row r="3" spans="1:10" x14ac:dyDescent="0.35">
      <c r="A3" s="38" t="s">
        <v>567</v>
      </c>
      <c r="B3" s="38" t="s">
        <v>568</v>
      </c>
      <c r="C3" s="38" t="s">
        <v>569</v>
      </c>
      <c r="D3" s="38" t="s">
        <v>570</v>
      </c>
      <c r="E3" s="38" t="s">
        <v>571</v>
      </c>
      <c r="F3" s="38" t="s">
        <v>572</v>
      </c>
      <c r="G3" s="38" t="s">
        <v>573</v>
      </c>
      <c r="H3" s="38" t="s">
        <v>574</v>
      </c>
      <c r="I3" s="38" t="s">
        <v>93</v>
      </c>
      <c r="J3" s="38" t="s">
        <v>575</v>
      </c>
    </row>
    <row r="4" spans="1:10" x14ac:dyDescent="0.35">
      <c r="A4" s="60" t="s">
        <v>48</v>
      </c>
      <c r="B4" s="60" t="s">
        <v>576</v>
      </c>
      <c r="C4" s="60">
        <v>4</v>
      </c>
      <c r="D4" s="12">
        <v>46328</v>
      </c>
      <c r="E4" s="60" t="s">
        <v>49</v>
      </c>
      <c r="F4" s="60">
        <f>COUNTIF('Gate Criteria Checklist'!$A:$A,A4)</f>
        <v>10</v>
      </c>
      <c r="G4" s="60">
        <f>COUNTIFS('Gate Criteria Checklist'!$A:$A,A4,'Gate Criteria Checklist'!$F:$F,"Complete")</f>
        <v>0</v>
      </c>
      <c r="H4" s="13">
        <f t="shared" ref="H4:H15" si="0">IF(F4=0,0,G4/F4)</f>
        <v>0</v>
      </c>
      <c r="I4" s="60" t="str">
        <f t="shared" ref="I4:I15" si="1">IF(F4=0,"No Criteria",IF(G4=0,"Not Started",IF(H4=1,"Green",IF(H4&gt;=0.75,"Amber","Red"))))</f>
        <v>Not Started</v>
      </c>
      <c r="J4" s="60"/>
    </row>
    <row r="5" spans="1:10" x14ac:dyDescent="0.35">
      <c r="A5" s="60" t="s">
        <v>266</v>
      </c>
      <c r="B5" s="60" t="s">
        <v>577</v>
      </c>
      <c r="C5" s="60">
        <v>6</v>
      </c>
      <c r="D5" s="61">
        <v>46346</v>
      </c>
      <c r="E5" s="60" t="s">
        <v>578</v>
      </c>
      <c r="F5" s="60">
        <f>COUNTIF('Gate Criteria Checklist'!$A:$A,A5)</f>
        <v>6</v>
      </c>
      <c r="G5" s="60">
        <f>COUNTIFS('Gate Criteria Checklist'!$A:$A,A5,'Gate Criteria Checklist'!$F:$F,"Complete")</f>
        <v>0</v>
      </c>
      <c r="H5" s="13">
        <f t="shared" si="0"/>
        <v>0</v>
      </c>
      <c r="I5" s="60" t="str">
        <f t="shared" si="1"/>
        <v>Not Started</v>
      </c>
      <c r="J5" s="60"/>
    </row>
    <row r="6" spans="1:10" x14ac:dyDescent="0.35">
      <c r="A6" s="60" t="s">
        <v>53</v>
      </c>
      <c r="B6" s="60" t="s">
        <v>579</v>
      </c>
      <c r="C6" s="60">
        <v>9</v>
      </c>
      <c r="D6" s="61">
        <v>46367</v>
      </c>
      <c r="E6" s="60" t="s">
        <v>54</v>
      </c>
      <c r="F6" s="60">
        <f>COUNTIF('Gate Criteria Checklist'!$A:$A,A6)</f>
        <v>8</v>
      </c>
      <c r="G6" s="60">
        <f>COUNTIFS('Gate Criteria Checklist'!$A:$A,A6,'Gate Criteria Checklist'!$F:$F,"Complete")</f>
        <v>0</v>
      </c>
      <c r="H6" s="13">
        <f t="shared" si="0"/>
        <v>0</v>
      </c>
      <c r="I6" s="60" t="str">
        <f t="shared" si="1"/>
        <v>Not Started</v>
      </c>
      <c r="J6" s="60"/>
    </row>
    <row r="7" spans="1:10" x14ac:dyDescent="0.35">
      <c r="A7" s="60" t="s">
        <v>312</v>
      </c>
      <c r="B7" s="60" t="s">
        <v>580</v>
      </c>
      <c r="C7" s="60">
        <v>9</v>
      </c>
      <c r="D7" s="61">
        <v>46367</v>
      </c>
      <c r="E7" s="60" t="s">
        <v>314</v>
      </c>
      <c r="F7" s="60">
        <f>COUNTIF('Gate Criteria Checklist'!$A:$A,A7)</f>
        <v>8</v>
      </c>
      <c r="G7" s="60">
        <f>COUNTIFS('Gate Criteria Checklist'!$A:$A,A7,'Gate Criteria Checklist'!$F:$F,"Complete")</f>
        <v>0</v>
      </c>
      <c r="H7" s="13">
        <f t="shared" si="0"/>
        <v>0</v>
      </c>
      <c r="I7" s="60" t="str">
        <f t="shared" si="1"/>
        <v>Not Started</v>
      </c>
      <c r="J7" s="60"/>
    </row>
    <row r="8" spans="1:10" x14ac:dyDescent="0.35">
      <c r="A8" s="60" t="s">
        <v>58</v>
      </c>
      <c r="B8" s="60" t="s">
        <v>329</v>
      </c>
      <c r="C8" s="60">
        <v>13</v>
      </c>
      <c r="D8" s="61">
        <v>46395</v>
      </c>
      <c r="E8" s="60" t="s">
        <v>54</v>
      </c>
      <c r="F8" s="60">
        <f>COUNTIF('Gate Criteria Checklist'!$A:$A,A8)</f>
        <v>7</v>
      </c>
      <c r="G8" s="60">
        <f>COUNTIFS('Gate Criteria Checklist'!$A:$A,A8,'Gate Criteria Checklist'!$F:$F,"Complete")</f>
        <v>0</v>
      </c>
      <c r="H8" s="13">
        <f t="shared" si="0"/>
        <v>0</v>
      </c>
      <c r="I8" s="60" t="str">
        <f t="shared" si="1"/>
        <v>Not Started</v>
      </c>
      <c r="J8" s="60"/>
    </row>
    <row r="9" spans="1:10" x14ac:dyDescent="0.35">
      <c r="A9" s="60" t="s">
        <v>362</v>
      </c>
      <c r="B9" s="60" t="s">
        <v>581</v>
      </c>
      <c r="C9" s="60">
        <v>13</v>
      </c>
      <c r="D9" s="61">
        <v>46395</v>
      </c>
      <c r="E9" s="60" t="s">
        <v>314</v>
      </c>
      <c r="F9" s="60">
        <f>COUNTIF('Gate Criteria Checklist'!$A:$A,A9)</f>
        <v>8</v>
      </c>
      <c r="G9" s="60">
        <f>COUNTIFS('Gate Criteria Checklist'!$A:$A,A9,'Gate Criteria Checklist'!$F:$F,"Complete")</f>
        <v>0</v>
      </c>
      <c r="H9" s="13">
        <f t="shared" si="0"/>
        <v>0</v>
      </c>
      <c r="I9" s="60" t="str">
        <f t="shared" si="1"/>
        <v>Not Started</v>
      </c>
      <c r="J9" s="60"/>
    </row>
    <row r="10" spans="1:10" x14ac:dyDescent="0.35">
      <c r="A10" s="60" t="s">
        <v>62</v>
      </c>
      <c r="B10" s="60" t="s">
        <v>378</v>
      </c>
      <c r="C10" s="60">
        <v>17</v>
      </c>
      <c r="D10" s="61">
        <v>46423</v>
      </c>
      <c r="E10" s="60" t="s">
        <v>54</v>
      </c>
      <c r="F10" s="60">
        <f>COUNTIF('Gate Criteria Checklist'!$A:$A,A10)</f>
        <v>7</v>
      </c>
      <c r="G10" s="60">
        <f>COUNTIFS('Gate Criteria Checklist'!$A:$A,A10,'Gate Criteria Checklist'!$F:$F,"Complete")</f>
        <v>0</v>
      </c>
      <c r="H10" s="13">
        <f t="shared" si="0"/>
        <v>0</v>
      </c>
      <c r="I10" s="60" t="str">
        <f t="shared" si="1"/>
        <v>Not Started</v>
      </c>
      <c r="J10" s="60"/>
    </row>
    <row r="11" spans="1:10" x14ac:dyDescent="0.35">
      <c r="A11" s="60" t="s">
        <v>403</v>
      </c>
      <c r="B11" s="60" t="s">
        <v>582</v>
      </c>
      <c r="C11" s="60">
        <v>17</v>
      </c>
      <c r="D11" s="61">
        <v>46423</v>
      </c>
      <c r="E11" s="60" t="s">
        <v>314</v>
      </c>
      <c r="F11" s="60">
        <f>COUNTIF('Gate Criteria Checklist'!$A:$A,A11)</f>
        <v>8</v>
      </c>
      <c r="G11" s="60">
        <f>COUNTIFS('Gate Criteria Checklist'!$A:$A,A11,'Gate Criteria Checklist'!$F:$F,"Complete")</f>
        <v>0</v>
      </c>
      <c r="H11" s="13">
        <f t="shared" si="0"/>
        <v>0</v>
      </c>
      <c r="I11" s="60" t="str">
        <f t="shared" si="1"/>
        <v>Not Started</v>
      </c>
      <c r="J11" s="60"/>
    </row>
    <row r="12" spans="1:10" x14ac:dyDescent="0.35">
      <c r="A12" s="60" t="s">
        <v>66</v>
      </c>
      <c r="B12" s="60" t="s">
        <v>418</v>
      </c>
      <c r="C12" s="60">
        <v>21</v>
      </c>
      <c r="D12" s="61">
        <v>46451</v>
      </c>
      <c r="E12" s="60" t="s">
        <v>54</v>
      </c>
      <c r="F12" s="60">
        <f>COUNTIF('Gate Criteria Checklist'!$A:$A,A12)</f>
        <v>7</v>
      </c>
      <c r="G12" s="60">
        <f>COUNTIFS('Gate Criteria Checklist'!$A:$A,A12,'Gate Criteria Checklist'!$F:$F,"Complete")</f>
        <v>0</v>
      </c>
      <c r="H12" s="13">
        <f t="shared" si="0"/>
        <v>0</v>
      </c>
      <c r="I12" s="60" t="str">
        <f t="shared" si="1"/>
        <v>Not Started</v>
      </c>
      <c r="J12" s="60"/>
    </row>
    <row r="13" spans="1:10" x14ac:dyDescent="0.35">
      <c r="A13" s="60" t="s">
        <v>439</v>
      </c>
      <c r="B13" s="60" t="s">
        <v>583</v>
      </c>
      <c r="C13" s="60">
        <v>24</v>
      </c>
      <c r="D13" s="61">
        <v>46472</v>
      </c>
      <c r="E13" s="60" t="s">
        <v>441</v>
      </c>
      <c r="F13" s="60">
        <f>COUNTIF('Gate Criteria Checklist'!$A:$A,A13)</f>
        <v>6</v>
      </c>
      <c r="G13" s="60">
        <f>COUNTIFS('Gate Criteria Checklist'!$A:$A,A13,'Gate Criteria Checklist'!$F:$F,"Complete")</f>
        <v>0</v>
      </c>
      <c r="H13" s="13">
        <f t="shared" si="0"/>
        <v>0</v>
      </c>
      <c r="I13" s="60" t="str">
        <f t="shared" si="1"/>
        <v>Not Started</v>
      </c>
      <c r="J13" s="60"/>
    </row>
    <row r="14" spans="1:10" x14ac:dyDescent="0.35">
      <c r="A14" s="60" t="s">
        <v>454</v>
      </c>
      <c r="B14" s="60" t="s">
        <v>584</v>
      </c>
      <c r="C14" s="60">
        <v>24</v>
      </c>
      <c r="D14" s="61">
        <v>46472</v>
      </c>
      <c r="E14" s="60" t="s">
        <v>456</v>
      </c>
      <c r="F14" s="60">
        <f>COUNTIF('Gate Criteria Checklist'!$A:$A,A14)</f>
        <v>6</v>
      </c>
      <c r="G14" s="60">
        <f>COUNTIFS('Gate Criteria Checklist'!$A:$A,A14,'Gate Criteria Checklist'!$F:$F,"Complete")</f>
        <v>0</v>
      </c>
      <c r="H14" s="13">
        <f t="shared" si="0"/>
        <v>0</v>
      </c>
      <c r="I14" s="60" t="str">
        <f t="shared" si="1"/>
        <v>Not Started</v>
      </c>
      <c r="J14" s="60"/>
    </row>
    <row r="15" spans="1:10" x14ac:dyDescent="0.35">
      <c r="A15" s="60" t="s">
        <v>70</v>
      </c>
      <c r="B15" s="60" t="s">
        <v>465</v>
      </c>
      <c r="C15" s="60">
        <v>26</v>
      </c>
      <c r="D15" s="61">
        <v>46486</v>
      </c>
      <c r="E15" s="60" t="s">
        <v>71</v>
      </c>
      <c r="F15" s="60">
        <f>COUNTIF('Gate Criteria Checklist'!$A:$A,A15)</f>
        <v>7</v>
      </c>
      <c r="G15" s="60">
        <f>COUNTIFS('Gate Criteria Checklist'!$A:$A,A15,'Gate Criteria Checklist'!$F:$F,"Complete")</f>
        <v>0</v>
      </c>
      <c r="H15" s="13">
        <f t="shared" si="0"/>
        <v>0</v>
      </c>
      <c r="I15" s="60" t="str">
        <f t="shared" si="1"/>
        <v>Not Started</v>
      </c>
      <c r="J15" s="60"/>
    </row>
    <row r="17" spans="1:2" x14ac:dyDescent="0.35">
      <c r="A17" s="37" t="s">
        <v>585</v>
      </c>
    </row>
    <row r="18" spans="1:2" x14ac:dyDescent="0.35">
      <c r="A18" t="s">
        <v>106</v>
      </c>
      <c r="B18" t="s">
        <v>586</v>
      </c>
    </row>
    <row r="19" spans="1:2" x14ac:dyDescent="0.35">
      <c r="A19" t="s">
        <v>587</v>
      </c>
      <c r="B19" t="s">
        <v>588</v>
      </c>
    </row>
    <row r="20" spans="1:2" x14ac:dyDescent="0.35">
      <c r="A20" t="s">
        <v>16</v>
      </c>
      <c r="B20" t="s">
        <v>589</v>
      </c>
    </row>
    <row r="21" spans="1:2" x14ac:dyDescent="0.35">
      <c r="A21" t="s">
        <v>9</v>
      </c>
      <c r="B21" t="s">
        <v>590</v>
      </c>
    </row>
  </sheetData>
  <mergeCells count="1">
    <mergeCell ref="A1:J1"/>
  </mergeCells>
  <conditionalFormatting sqref="I4:I15">
    <cfRule type="expression" dxfId="3" priority="1">
      <formula>I4="Green"</formula>
    </cfRule>
    <cfRule type="expression" dxfId="2" priority="2">
      <formula>I4="Amber"</formula>
    </cfRule>
    <cfRule type="expression" dxfId="1" priority="3">
      <formula>I4="Red"</formula>
    </cfRule>
    <cfRule type="expression" dxfId="0" priority="4">
      <formula>I4="Not Started"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2"/>
  <sheetViews>
    <sheetView showGridLines="0" workbookViewId="0">
      <pane ySplit="4" topLeftCell="A5" activePane="bottomLeft" state="frozen"/>
      <selection pane="bottomLeft" activeCell="B3" sqref="B3"/>
    </sheetView>
  </sheetViews>
  <sheetFormatPr defaultRowHeight="14.5" x14ac:dyDescent="0.35"/>
  <cols>
    <col min="1" max="1" width="18" style="59" customWidth="1"/>
    <col min="2" max="2" width="72" style="59" customWidth="1"/>
    <col min="3" max="3" width="26" style="59" customWidth="1"/>
    <col min="4" max="4" width="38" style="59" customWidth="1"/>
    <col min="5" max="5" width="12" style="59" customWidth="1"/>
    <col min="6" max="6" width="16" style="59" customWidth="1"/>
    <col min="7" max="7" width="42" style="59" customWidth="1"/>
  </cols>
  <sheetData>
    <row r="1" spans="1:7" ht="30" customHeight="1" x14ac:dyDescent="0.35">
      <c r="A1" s="65" t="s">
        <v>591</v>
      </c>
      <c r="B1" s="63"/>
      <c r="C1" s="63"/>
      <c r="D1" s="63"/>
      <c r="E1" s="63"/>
      <c r="F1" s="63"/>
      <c r="G1" s="63"/>
    </row>
    <row r="2" spans="1:7" x14ac:dyDescent="0.35">
      <c r="A2" s="66" t="s">
        <v>592</v>
      </c>
      <c r="B2" s="63"/>
      <c r="C2" s="63"/>
      <c r="D2" s="63"/>
      <c r="E2" s="63"/>
      <c r="F2" s="63"/>
      <c r="G2" s="63"/>
    </row>
    <row r="4" spans="1:7" x14ac:dyDescent="0.35">
      <c r="A4" s="39" t="s">
        <v>567</v>
      </c>
      <c r="B4" s="40" t="s">
        <v>593</v>
      </c>
      <c r="C4" s="40" t="s">
        <v>77</v>
      </c>
      <c r="D4" s="40" t="s">
        <v>594</v>
      </c>
      <c r="E4" s="40" t="s">
        <v>595</v>
      </c>
      <c r="F4" s="40" t="s">
        <v>89</v>
      </c>
      <c r="G4" s="41" t="s">
        <v>596</v>
      </c>
    </row>
    <row r="5" spans="1:7" x14ac:dyDescent="0.35">
      <c r="A5" s="42" t="s">
        <v>48</v>
      </c>
      <c r="B5" s="43" t="s">
        <v>597</v>
      </c>
      <c r="C5" s="43" t="s">
        <v>183</v>
      </c>
      <c r="D5" s="43" t="s">
        <v>598</v>
      </c>
      <c r="E5" s="43" t="s">
        <v>599</v>
      </c>
      <c r="F5" s="44" t="s">
        <v>106</v>
      </c>
      <c r="G5" s="45"/>
    </row>
    <row r="6" spans="1:7" x14ac:dyDescent="0.35">
      <c r="A6" s="42" t="s">
        <v>48</v>
      </c>
      <c r="B6" s="43" t="s">
        <v>600</v>
      </c>
      <c r="C6" s="43" t="s">
        <v>205</v>
      </c>
      <c r="D6" s="43" t="s">
        <v>601</v>
      </c>
      <c r="E6" s="43" t="s">
        <v>599</v>
      </c>
      <c r="F6" s="44" t="s">
        <v>106</v>
      </c>
      <c r="G6" s="45"/>
    </row>
    <row r="7" spans="1:7" x14ac:dyDescent="0.35">
      <c r="A7" s="42" t="s">
        <v>48</v>
      </c>
      <c r="B7" s="43" t="s">
        <v>602</v>
      </c>
      <c r="C7" s="43" t="s">
        <v>103</v>
      </c>
      <c r="D7" s="43" t="s">
        <v>603</v>
      </c>
      <c r="E7" s="43" t="s">
        <v>599</v>
      </c>
      <c r="F7" s="44" t="s">
        <v>106</v>
      </c>
      <c r="G7" s="45"/>
    </row>
    <row r="8" spans="1:7" x14ac:dyDescent="0.35">
      <c r="A8" s="42" t="s">
        <v>48</v>
      </c>
      <c r="B8" s="43" t="s">
        <v>604</v>
      </c>
      <c r="C8" s="43" t="s">
        <v>103</v>
      </c>
      <c r="D8" s="43" t="s">
        <v>154</v>
      </c>
      <c r="E8" s="43" t="s">
        <v>599</v>
      </c>
      <c r="F8" s="44" t="s">
        <v>106</v>
      </c>
      <c r="G8" s="45"/>
    </row>
    <row r="9" spans="1:7" x14ac:dyDescent="0.35">
      <c r="A9" s="42" t="s">
        <v>48</v>
      </c>
      <c r="B9" s="43" t="s">
        <v>605</v>
      </c>
      <c r="C9" s="43" t="s">
        <v>103</v>
      </c>
      <c r="D9" s="43" t="s">
        <v>606</v>
      </c>
      <c r="E9" s="43" t="s">
        <v>599</v>
      </c>
      <c r="F9" s="44" t="s">
        <v>106</v>
      </c>
      <c r="G9" s="45"/>
    </row>
    <row r="10" spans="1:7" x14ac:dyDescent="0.35">
      <c r="A10" s="42" t="s">
        <v>48</v>
      </c>
      <c r="B10" s="43" t="s">
        <v>607</v>
      </c>
      <c r="C10" s="43" t="s">
        <v>183</v>
      </c>
      <c r="D10" s="43" t="s">
        <v>608</v>
      </c>
      <c r="E10" s="43" t="s">
        <v>609</v>
      </c>
      <c r="F10" s="44" t="s">
        <v>106</v>
      </c>
      <c r="G10" s="45"/>
    </row>
    <row r="11" spans="1:7" x14ac:dyDescent="0.35">
      <c r="A11" s="42" t="s">
        <v>48</v>
      </c>
      <c r="B11" s="43" t="s">
        <v>610</v>
      </c>
      <c r="C11" s="43" t="s">
        <v>171</v>
      </c>
      <c r="D11" s="43" t="s">
        <v>611</v>
      </c>
      <c r="E11" s="43" t="s">
        <v>609</v>
      </c>
      <c r="F11" s="44" t="s">
        <v>106</v>
      </c>
      <c r="G11" s="45"/>
    </row>
    <row r="12" spans="1:7" x14ac:dyDescent="0.35">
      <c r="A12" s="42" t="s">
        <v>48</v>
      </c>
      <c r="B12" s="43" t="s">
        <v>612</v>
      </c>
      <c r="C12" s="43" t="s">
        <v>135</v>
      </c>
      <c r="D12" s="43" t="s">
        <v>613</v>
      </c>
      <c r="E12" s="43" t="s">
        <v>609</v>
      </c>
      <c r="F12" s="44" t="s">
        <v>106</v>
      </c>
      <c r="G12" s="45"/>
    </row>
    <row r="13" spans="1:7" x14ac:dyDescent="0.35">
      <c r="A13" s="42" t="s">
        <v>48</v>
      </c>
      <c r="B13" s="43" t="s">
        <v>614</v>
      </c>
      <c r="C13" s="43" t="s">
        <v>205</v>
      </c>
      <c r="D13" s="43" t="s">
        <v>615</v>
      </c>
      <c r="E13" s="43" t="s">
        <v>609</v>
      </c>
      <c r="F13" s="44" t="s">
        <v>106</v>
      </c>
      <c r="G13" s="45"/>
    </row>
    <row r="14" spans="1:7" x14ac:dyDescent="0.35">
      <c r="A14" s="42" t="s">
        <v>48</v>
      </c>
      <c r="B14" s="43" t="s">
        <v>616</v>
      </c>
      <c r="C14" s="43" t="s">
        <v>158</v>
      </c>
      <c r="D14" s="43" t="s">
        <v>617</v>
      </c>
      <c r="E14" s="43" t="s">
        <v>609</v>
      </c>
      <c r="F14" s="44" t="s">
        <v>106</v>
      </c>
      <c r="G14" s="45"/>
    </row>
    <row r="15" spans="1:7" x14ac:dyDescent="0.35">
      <c r="A15" s="46" t="s">
        <v>266</v>
      </c>
      <c r="B15" s="47" t="s">
        <v>618</v>
      </c>
      <c r="C15" s="47" t="s">
        <v>257</v>
      </c>
      <c r="D15" s="47" t="s">
        <v>619</v>
      </c>
      <c r="E15" s="47" t="s">
        <v>599</v>
      </c>
      <c r="F15" s="44" t="s">
        <v>106</v>
      </c>
      <c r="G15" s="48"/>
    </row>
    <row r="16" spans="1:7" x14ac:dyDescent="0.35">
      <c r="A16" s="46" t="s">
        <v>266</v>
      </c>
      <c r="B16" s="47" t="s">
        <v>620</v>
      </c>
      <c r="C16" s="47" t="s">
        <v>158</v>
      </c>
      <c r="D16" s="47" t="s">
        <v>621</v>
      </c>
      <c r="E16" s="47" t="s">
        <v>599</v>
      </c>
      <c r="F16" s="44" t="s">
        <v>106</v>
      </c>
      <c r="G16" s="48"/>
    </row>
    <row r="17" spans="1:7" x14ac:dyDescent="0.35">
      <c r="A17" s="46" t="s">
        <v>266</v>
      </c>
      <c r="B17" s="47" t="s">
        <v>622</v>
      </c>
      <c r="C17" s="47" t="s">
        <v>176</v>
      </c>
      <c r="D17" s="47" t="s">
        <v>265</v>
      </c>
      <c r="E17" s="47" t="s">
        <v>599</v>
      </c>
      <c r="F17" s="44" t="s">
        <v>106</v>
      </c>
      <c r="G17" s="48"/>
    </row>
    <row r="18" spans="1:7" x14ac:dyDescent="0.35">
      <c r="A18" s="46" t="s">
        <v>266</v>
      </c>
      <c r="B18" s="47" t="s">
        <v>623</v>
      </c>
      <c r="C18" s="47" t="s">
        <v>135</v>
      </c>
      <c r="D18" s="47" t="s">
        <v>316</v>
      </c>
      <c r="E18" s="47" t="s">
        <v>599</v>
      </c>
      <c r="F18" s="44" t="s">
        <v>106</v>
      </c>
      <c r="G18" s="48"/>
    </row>
    <row r="19" spans="1:7" x14ac:dyDescent="0.35">
      <c r="A19" s="46" t="s">
        <v>266</v>
      </c>
      <c r="B19" s="47" t="s">
        <v>624</v>
      </c>
      <c r="C19" s="47" t="s">
        <v>625</v>
      </c>
      <c r="D19" s="47" t="s">
        <v>626</v>
      </c>
      <c r="E19" s="47" t="s">
        <v>599</v>
      </c>
      <c r="F19" s="44" t="s">
        <v>106</v>
      </c>
      <c r="G19" s="48"/>
    </row>
    <row r="20" spans="1:7" x14ac:dyDescent="0.35">
      <c r="A20" s="46" t="s">
        <v>266</v>
      </c>
      <c r="B20" s="47" t="s">
        <v>627</v>
      </c>
      <c r="C20" s="47" t="s">
        <v>103</v>
      </c>
      <c r="D20" s="47" t="s">
        <v>628</v>
      </c>
      <c r="E20" s="47" t="s">
        <v>609</v>
      </c>
      <c r="F20" s="44" t="s">
        <v>106</v>
      </c>
      <c r="G20" s="48"/>
    </row>
    <row r="21" spans="1:7" x14ac:dyDescent="0.35">
      <c r="A21" s="49" t="s">
        <v>53</v>
      </c>
      <c r="B21" s="50" t="s">
        <v>629</v>
      </c>
      <c r="C21" s="50" t="s">
        <v>103</v>
      </c>
      <c r="D21" s="50" t="s">
        <v>630</v>
      </c>
      <c r="E21" s="50" t="s">
        <v>599</v>
      </c>
      <c r="F21" s="44" t="s">
        <v>106</v>
      </c>
      <c r="G21" s="51"/>
    </row>
    <row r="22" spans="1:7" x14ac:dyDescent="0.35">
      <c r="A22" s="49" t="s">
        <v>53</v>
      </c>
      <c r="B22" s="50" t="s">
        <v>631</v>
      </c>
      <c r="C22" s="50" t="s">
        <v>176</v>
      </c>
      <c r="D22" s="50" t="s">
        <v>632</v>
      </c>
      <c r="E22" s="50" t="s">
        <v>599</v>
      </c>
      <c r="F22" s="44" t="s">
        <v>106</v>
      </c>
      <c r="G22" s="51"/>
    </row>
    <row r="23" spans="1:7" x14ac:dyDescent="0.35">
      <c r="A23" s="49" t="s">
        <v>53</v>
      </c>
      <c r="B23" s="50" t="s">
        <v>633</v>
      </c>
      <c r="C23" s="50" t="s">
        <v>176</v>
      </c>
      <c r="D23" s="50" t="s">
        <v>634</v>
      </c>
      <c r="E23" s="50" t="s">
        <v>599</v>
      </c>
      <c r="F23" s="44" t="s">
        <v>106</v>
      </c>
      <c r="G23" s="51"/>
    </row>
    <row r="24" spans="1:7" x14ac:dyDescent="0.35">
      <c r="A24" s="49" t="s">
        <v>53</v>
      </c>
      <c r="B24" s="50" t="s">
        <v>635</v>
      </c>
      <c r="C24" s="50" t="s">
        <v>176</v>
      </c>
      <c r="D24" s="50" t="s">
        <v>265</v>
      </c>
      <c r="E24" s="50" t="s">
        <v>599</v>
      </c>
      <c r="F24" s="44" t="s">
        <v>106</v>
      </c>
      <c r="G24" s="51"/>
    </row>
    <row r="25" spans="1:7" x14ac:dyDescent="0.35">
      <c r="A25" s="49" t="s">
        <v>53</v>
      </c>
      <c r="B25" s="50" t="s">
        <v>636</v>
      </c>
      <c r="C25" s="50" t="s">
        <v>637</v>
      </c>
      <c r="D25" s="50" t="s">
        <v>282</v>
      </c>
      <c r="E25" s="50" t="s">
        <v>599</v>
      </c>
      <c r="F25" s="44" t="s">
        <v>106</v>
      </c>
      <c r="G25" s="51"/>
    </row>
    <row r="26" spans="1:7" x14ac:dyDescent="0.35">
      <c r="A26" s="49" t="s">
        <v>53</v>
      </c>
      <c r="B26" s="50" t="s">
        <v>638</v>
      </c>
      <c r="C26" s="50" t="s">
        <v>176</v>
      </c>
      <c r="D26" s="50" t="s">
        <v>639</v>
      </c>
      <c r="E26" s="50" t="s">
        <v>609</v>
      </c>
      <c r="F26" s="44" t="s">
        <v>106</v>
      </c>
      <c r="G26" s="51"/>
    </row>
    <row r="27" spans="1:7" x14ac:dyDescent="0.35">
      <c r="A27" s="49" t="s">
        <v>53</v>
      </c>
      <c r="B27" s="50" t="s">
        <v>640</v>
      </c>
      <c r="C27" s="50" t="s">
        <v>103</v>
      </c>
      <c r="D27" s="50" t="s">
        <v>641</v>
      </c>
      <c r="E27" s="50" t="s">
        <v>609</v>
      </c>
      <c r="F27" s="44" t="s">
        <v>106</v>
      </c>
      <c r="G27" s="51"/>
    </row>
    <row r="28" spans="1:7" x14ac:dyDescent="0.35">
      <c r="A28" s="49" t="s">
        <v>53</v>
      </c>
      <c r="B28" s="50" t="s">
        <v>642</v>
      </c>
      <c r="C28" s="50" t="s">
        <v>643</v>
      </c>
      <c r="D28" s="50" t="s">
        <v>644</v>
      </c>
      <c r="E28" s="50" t="s">
        <v>609</v>
      </c>
      <c r="F28" s="44" t="s">
        <v>106</v>
      </c>
      <c r="G28" s="51"/>
    </row>
    <row r="29" spans="1:7" x14ac:dyDescent="0.35">
      <c r="A29" s="52" t="s">
        <v>312</v>
      </c>
      <c r="B29" s="53" t="s">
        <v>645</v>
      </c>
      <c r="C29" s="53" t="s">
        <v>257</v>
      </c>
      <c r="D29" s="53" t="s">
        <v>619</v>
      </c>
      <c r="E29" s="53" t="s">
        <v>599</v>
      </c>
      <c r="F29" s="44" t="s">
        <v>106</v>
      </c>
      <c r="G29" s="54"/>
    </row>
    <row r="30" spans="1:7" x14ac:dyDescent="0.35">
      <c r="A30" s="52" t="s">
        <v>312</v>
      </c>
      <c r="B30" s="53" t="s">
        <v>622</v>
      </c>
      <c r="C30" s="53" t="s">
        <v>176</v>
      </c>
      <c r="D30" s="53" t="s">
        <v>265</v>
      </c>
      <c r="E30" s="53" t="s">
        <v>599</v>
      </c>
      <c r="F30" s="44" t="s">
        <v>106</v>
      </c>
      <c r="G30" s="54"/>
    </row>
    <row r="31" spans="1:7" x14ac:dyDescent="0.35">
      <c r="A31" s="52" t="s">
        <v>312</v>
      </c>
      <c r="B31" s="53" t="s">
        <v>646</v>
      </c>
      <c r="C31" s="53" t="s">
        <v>135</v>
      </c>
      <c r="D31" s="53" t="s">
        <v>316</v>
      </c>
      <c r="E31" s="53" t="s">
        <v>599</v>
      </c>
      <c r="F31" s="44" t="s">
        <v>106</v>
      </c>
      <c r="G31" s="54"/>
    </row>
    <row r="32" spans="1:7" x14ac:dyDescent="0.35">
      <c r="A32" s="52" t="s">
        <v>312</v>
      </c>
      <c r="B32" s="53" t="s">
        <v>624</v>
      </c>
      <c r="C32" s="53" t="s">
        <v>625</v>
      </c>
      <c r="D32" s="53" t="s">
        <v>626</v>
      </c>
      <c r="E32" s="53" t="s">
        <v>599</v>
      </c>
      <c r="F32" s="44" t="s">
        <v>106</v>
      </c>
      <c r="G32" s="54"/>
    </row>
    <row r="33" spans="1:7" x14ac:dyDescent="0.35">
      <c r="A33" s="52" t="s">
        <v>312</v>
      </c>
      <c r="B33" s="53" t="s">
        <v>647</v>
      </c>
      <c r="C33" s="53" t="s">
        <v>158</v>
      </c>
      <c r="D33" s="53" t="s">
        <v>621</v>
      </c>
      <c r="E33" s="53" t="s">
        <v>609</v>
      </c>
      <c r="F33" s="44" t="s">
        <v>106</v>
      </c>
      <c r="G33" s="54"/>
    </row>
    <row r="34" spans="1:7" x14ac:dyDescent="0.35">
      <c r="A34" s="52" t="s">
        <v>312</v>
      </c>
      <c r="B34" s="53" t="s">
        <v>648</v>
      </c>
      <c r="C34" s="53" t="s">
        <v>176</v>
      </c>
      <c r="D34" s="53" t="s">
        <v>639</v>
      </c>
      <c r="E34" s="53" t="s">
        <v>609</v>
      </c>
      <c r="F34" s="44" t="s">
        <v>106</v>
      </c>
      <c r="G34" s="54"/>
    </row>
    <row r="35" spans="1:7" x14ac:dyDescent="0.35">
      <c r="A35" s="52" t="s">
        <v>312</v>
      </c>
      <c r="B35" s="53" t="s">
        <v>649</v>
      </c>
      <c r="C35" s="53" t="s">
        <v>183</v>
      </c>
      <c r="D35" s="53" t="s">
        <v>650</v>
      </c>
      <c r="E35" s="53" t="s">
        <v>609</v>
      </c>
      <c r="F35" s="44" t="s">
        <v>106</v>
      </c>
      <c r="G35" s="54"/>
    </row>
    <row r="36" spans="1:7" x14ac:dyDescent="0.35">
      <c r="A36" s="52" t="s">
        <v>312</v>
      </c>
      <c r="B36" s="53" t="s">
        <v>651</v>
      </c>
      <c r="C36" s="53" t="s">
        <v>103</v>
      </c>
      <c r="D36" s="53" t="s">
        <v>652</v>
      </c>
      <c r="E36" s="53" t="s">
        <v>609</v>
      </c>
      <c r="F36" s="44" t="s">
        <v>106</v>
      </c>
      <c r="G36" s="54"/>
    </row>
    <row r="37" spans="1:7" x14ac:dyDescent="0.35">
      <c r="A37" s="42" t="s">
        <v>58</v>
      </c>
      <c r="B37" s="43" t="s">
        <v>653</v>
      </c>
      <c r="C37" s="43" t="s">
        <v>103</v>
      </c>
      <c r="D37" s="43" t="s">
        <v>630</v>
      </c>
      <c r="E37" s="43" t="s">
        <v>599</v>
      </c>
      <c r="F37" s="44" t="s">
        <v>106</v>
      </c>
      <c r="G37" s="45"/>
    </row>
    <row r="38" spans="1:7" x14ac:dyDescent="0.35">
      <c r="A38" s="42" t="s">
        <v>58</v>
      </c>
      <c r="B38" s="43" t="s">
        <v>654</v>
      </c>
      <c r="C38" s="43" t="s">
        <v>176</v>
      </c>
      <c r="D38" s="43" t="s">
        <v>655</v>
      </c>
      <c r="E38" s="43" t="s">
        <v>599</v>
      </c>
      <c r="F38" s="44" t="s">
        <v>106</v>
      </c>
      <c r="G38" s="45"/>
    </row>
    <row r="39" spans="1:7" x14ac:dyDescent="0.35">
      <c r="A39" s="42" t="s">
        <v>58</v>
      </c>
      <c r="B39" s="43" t="s">
        <v>656</v>
      </c>
      <c r="C39" s="43" t="s">
        <v>176</v>
      </c>
      <c r="D39" s="43" t="s">
        <v>639</v>
      </c>
      <c r="E39" s="43" t="s">
        <v>599</v>
      </c>
      <c r="F39" s="44" t="s">
        <v>106</v>
      </c>
      <c r="G39" s="45"/>
    </row>
    <row r="40" spans="1:7" x14ac:dyDescent="0.35">
      <c r="A40" s="42" t="s">
        <v>58</v>
      </c>
      <c r="B40" s="43" t="s">
        <v>657</v>
      </c>
      <c r="C40" s="43" t="s">
        <v>176</v>
      </c>
      <c r="D40" s="43" t="s">
        <v>323</v>
      </c>
      <c r="E40" s="43" t="s">
        <v>599</v>
      </c>
      <c r="F40" s="44" t="s">
        <v>106</v>
      </c>
      <c r="G40" s="45"/>
    </row>
    <row r="41" spans="1:7" x14ac:dyDescent="0.35">
      <c r="A41" s="42" t="s">
        <v>58</v>
      </c>
      <c r="B41" s="43" t="s">
        <v>658</v>
      </c>
      <c r="C41" s="43" t="s">
        <v>637</v>
      </c>
      <c r="D41" s="43" t="s">
        <v>282</v>
      </c>
      <c r="E41" s="43" t="s">
        <v>609</v>
      </c>
      <c r="F41" s="44" t="s">
        <v>106</v>
      </c>
      <c r="G41" s="45"/>
    </row>
    <row r="42" spans="1:7" x14ac:dyDescent="0.35">
      <c r="A42" s="42" t="s">
        <v>58</v>
      </c>
      <c r="B42" s="43" t="s">
        <v>659</v>
      </c>
      <c r="C42" s="43" t="s">
        <v>183</v>
      </c>
      <c r="D42" s="43" t="s">
        <v>660</v>
      </c>
      <c r="E42" s="43" t="s">
        <v>609</v>
      </c>
      <c r="F42" s="44" t="s">
        <v>106</v>
      </c>
      <c r="G42" s="45"/>
    </row>
    <row r="43" spans="1:7" x14ac:dyDescent="0.35">
      <c r="A43" s="42" t="s">
        <v>58</v>
      </c>
      <c r="B43" s="43" t="s">
        <v>661</v>
      </c>
      <c r="C43" s="43" t="s">
        <v>103</v>
      </c>
      <c r="D43" s="43" t="s">
        <v>662</v>
      </c>
      <c r="E43" s="43" t="s">
        <v>609</v>
      </c>
      <c r="F43" s="44" t="s">
        <v>106</v>
      </c>
      <c r="G43" s="45"/>
    </row>
    <row r="44" spans="1:7" x14ac:dyDescent="0.35">
      <c r="A44" s="46" t="s">
        <v>362</v>
      </c>
      <c r="B44" s="47" t="s">
        <v>645</v>
      </c>
      <c r="C44" s="47" t="s">
        <v>257</v>
      </c>
      <c r="D44" s="47" t="s">
        <v>619</v>
      </c>
      <c r="E44" s="47" t="s">
        <v>599</v>
      </c>
      <c r="F44" s="44" t="s">
        <v>106</v>
      </c>
      <c r="G44" s="48"/>
    </row>
    <row r="45" spans="1:7" x14ac:dyDescent="0.35">
      <c r="A45" s="46" t="s">
        <v>362</v>
      </c>
      <c r="B45" s="47" t="s">
        <v>622</v>
      </c>
      <c r="C45" s="47" t="s">
        <v>176</v>
      </c>
      <c r="D45" s="47" t="s">
        <v>265</v>
      </c>
      <c r="E45" s="47" t="s">
        <v>599</v>
      </c>
      <c r="F45" s="44" t="s">
        <v>106</v>
      </c>
      <c r="G45" s="48"/>
    </row>
    <row r="46" spans="1:7" x14ac:dyDescent="0.35">
      <c r="A46" s="46" t="s">
        <v>362</v>
      </c>
      <c r="B46" s="47" t="s">
        <v>646</v>
      </c>
      <c r="C46" s="47" t="s">
        <v>135</v>
      </c>
      <c r="D46" s="47" t="s">
        <v>316</v>
      </c>
      <c r="E46" s="47" t="s">
        <v>599</v>
      </c>
      <c r="F46" s="44" t="s">
        <v>106</v>
      </c>
      <c r="G46" s="48"/>
    </row>
    <row r="47" spans="1:7" x14ac:dyDescent="0.35">
      <c r="A47" s="46" t="s">
        <v>362</v>
      </c>
      <c r="B47" s="47" t="s">
        <v>624</v>
      </c>
      <c r="C47" s="47" t="s">
        <v>625</v>
      </c>
      <c r="D47" s="47" t="s">
        <v>626</v>
      </c>
      <c r="E47" s="47" t="s">
        <v>599</v>
      </c>
      <c r="F47" s="44" t="s">
        <v>106</v>
      </c>
      <c r="G47" s="48"/>
    </row>
    <row r="48" spans="1:7" x14ac:dyDescent="0.35">
      <c r="A48" s="46" t="s">
        <v>362</v>
      </c>
      <c r="B48" s="47" t="s">
        <v>647</v>
      </c>
      <c r="C48" s="47" t="s">
        <v>158</v>
      </c>
      <c r="D48" s="47" t="s">
        <v>621</v>
      </c>
      <c r="E48" s="47" t="s">
        <v>609</v>
      </c>
      <c r="F48" s="44" t="s">
        <v>106</v>
      </c>
      <c r="G48" s="48"/>
    </row>
    <row r="49" spans="1:7" x14ac:dyDescent="0.35">
      <c r="A49" s="46" t="s">
        <v>362</v>
      </c>
      <c r="B49" s="47" t="s">
        <v>648</v>
      </c>
      <c r="C49" s="47" t="s">
        <v>176</v>
      </c>
      <c r="D49" s="47" t="s">
        <v>639</v>
      </c>
      <c r="E49" s="47" t="s">
        <v>609</v>
      </c>
      <c r="F49" s="44" t="s">
        <v>106</v>
      </c>
      <c r="G49" s="48"/>
    </row>
    <row r="50" spans="1:7" x14ac:dyDescent="0.35">
      <c r="A50" s="46" t="s">
        <v>362</v>
      </c>
      <c r="B50" s="47" t="s">
        <v>649</v>
      </c>
      <c r="C50" s="47" t="s">
        <v>183</v>
      </c>
      <c r="D50" s="47" t="s">
        <v>650</v>
      </c>
      <c r="E50" s="47" t="s">
        <v>609</v>
      </c>
      <c r="F50" s="44" t="s">
        <v>106</v>
      </c>
      <c r="G50" s="48"/>
    </row>
    <row r="51" spans="1:7" x14ac:dyDescent="0.35">
      <c r="A51" s="46" t="s">
        <v>362</v>
      </c>
      <c r="B51" s="47" t="s">
        <v>651</v>
      </c>
      <c r="C51" s="47" t="s">
        <v>103</v>
      </c>
      <c r="D51" s="47" t="s">
        <v>652</v>
      </c>
      <c r="E51" s="47" t="s">
        <v>609</v>
      </c>
      <c r="F51" s="44" t="s">
        <v>106</v>
      </c>
      <c r="G51" s="48"/>
    </row>
    <row r="52" spans="1:7" x14ac:dyDescent="0.35">
      <c r="A52" s="49" t="s">
        <v>62</v>
      </c>
      <c r="B52" s="50" t="s">
        <v>653</v>
      </c>
      <c r="C52" s="50" t="s">
        <v>103</v>
      </c>
      <c r="D52" s="50" t="s">
        <v>630</v>
      </c>
      <c r="E52" s="50" t="s">
        <v>599</v>
      </c>
      <c r="F52" s="44" t="s">
        <v>106</v>
      </c>
      <c r="G52" s="51"/>
    </row>
    <row r="53" spans="1:7" x14ac:dyDescent="0.35">
      <c r="A53" s="49" t="s">
        <v>62</v>
      </c>
      <c r="B53" s="50" t="s">
        <v>654</v>
      </c>
      <c r="C53" s="50" t="s">
        <v>176</v>
      </c>
      <c r="D53" s="50" t="s">
        <v>655</v>
      </c>
      <c r="E53" s="50" t="s">
        <v>599</v>
      </c>
      <c r="F53" s="44" t="s">
        <v>106</v>
      </c>
      <c r="G53" s="51"/>
    </row>
    <row r="54" spans="1:7" x14ac:dyDescent="0.35">
      <c r="A54" s="49" t="s">
        <v>62</v>
      </c>
      <c r="B54" s="50" t="s">
        <v>656</v>
      </c>
      <c r="C54" s="50" t="s">
        <v>176</v>
      </c>
      <c r="D54" s="50" t="s">
        <v>639</v>
      </c>
      <c r="E54" s="50" t="s">
        <v>599</v>
      </c>
      <c r="F54" s="44" t="s">
        <v>106</v>
      </c>
      <c r="G54" s="51"/>
    </row>
    <row r="55" spans="1:7" x14ac:dyDescent="0.35">
      <c r="A55" s="49" t="s">
        <v>62</v>
      </c>
      <c r="B55" s="50" t="s">
        <v>657</v>
      </c>
      <c r="C55" s="50" t="s">
        <v>176</v>
      </c>
      <c r="D55" s="50" t="s">
        <v>323</v>
      </c>
      <c r="E55" s="50" t="s">
        <v>599</v>
      </c>
      <c r="F55" s="44" t="s">
        <v>106</v>
      </c>
      <c r="G55" s="51"/>
    </row>
    <row r="56" spans="1:7" x14ac:dyDescent="0.35">
      <c r="A56" s="49" t="s">
        <v>62</v>
      </c>
      <c r="B56" s="50" t="s">
        <v>658</v>
      </c>
      <c r="C56" s="50" t="s">
        <v>637</v>
      </c>
      <c r="D56" s="50" t="s">
        <v>282</v>
      </c>
      <c r="E56" s="50" t="s">
        <v>609</v>
      </c>
      <c r="F56" s="44" t="s">
        <v>106</v>
      </c>
      <c r="G56" s="51"/>
    </row>
    <row r="57" spans="1:7" x14ac:dyDescent="0.35">
      <c r="A57" s="49" t="s">
        <v>62</v>
      </c>
      <c r="B57" s="50" t="s">
        <v>659</v>
      </c>
      <c r="C57" s="50" t="s">
        <v>183</v>
      </c>
      <c r="D57" s="50" t="s">
        <v>660</v>
      </c>
      <c r="E57" s="50" t="s">
        <v>609</v>
      </c>
      <c r="F57" s="44" t="s">
        <v>106</v>
      </c>
      <c r="G57" s="51"/>
    </row>
    <row r="58" spans="1:7" x14ac:dyDescent="0.35">
      <c r="A58" s="49" t="s">
        <v>62</v>
      </c>
      <c r="B58" s="50" t="s">
        <v>661</v>
      </c>
      <c r="C58" s="50" t="s">
        <v>103</v>
      </c>
      <c r="D58" s="50" t="s">
        <v>662</v>
      </c>
      <c r="E58" s="50" t="s">
        <v>609</v>
      </c>
      <c r="F58" s="44" t="s">
        <v>106</v>
      </c>
      <c r="G58" s="51"/>
    </row>
    <row r="59" spans="1:7" x14ac:dyDescent="0.35">
      <c r="A59" s="52" t="s">
        <v>403</v>
      </c>
      <c r="B59" s="53" t="s">
        <v>645</v>
      </c>
      <c r="C59" s="53" t="s">
        <v>257</v>
      </c>
      <c r="D59" s="53" t="s">
        <v>619</v>
      </c>
      <c r="E59" s="53" t="s">
        <v>599</v>
      </c>
      <c r="F59" s="44" t="s">
        <v>106</v>
      </c>
      <c r="G59" s="54"/>
    </row>
    <row r="60" spans="1:7" x14ac:dyDescent="0.35">
      <c r="A60" s="52" t="s">
        <v>403</v>
      </c>
      <c r="B60" s="53" t="s">
        <v>622</v>
      </c>
      <c r="C60" s="53" t="s">
        <v>176</v>
      </c>
      <c r="D60" s="53" t="s">
        <v>265</v>
      </c>
      <c r="E60" s="53" t="s">
        <v>599</v>
      </c>
      <c r="F60" s="44" t="s">
        <v>106</v>
      </c>
      <c r="G60" s="54"/>
    </row>
    <row r="61" spans="1:7" x14ac:dyDescent="0.35">
      <c r="A61" s="52" t="s">
        <v>403</v>
      </c>
      <c r="B61" s="53" t="s">
        <v>646</v>
      </c>
      <c r="C61" s="53" t="s">
        <v>135</v>
      </c>
      <c r="D61" s="53" t="s">
        <v>316</v>
      </c>
      <c r="E61" s="53" t="s">
        <v>599</v>
      </c>
      <c r="F61" s="44" t="s">
        <v>106</v>
      </c>
      <c r="G61" s="54"/>
    </row>
    <row r="62" spans="1:7" x14ac:dyDescent="0.35">
      <c r="A62" s="52" t="s">
        <v>403</v>
      </c>
      <c r="B62" s="53" t="s">
        <v>624</v>
      </c>
      <c r="C62" s="53" t="s">
        <v>625</v>
      </c>
      <c r="D62" s="53" t="s">
        <v>626</v>
      </c>
      <c r="E62" s="53" t="s">
        <v>599</v>
      </c>
      <c r="F62" s="44" t="s">
        <v>106</v>
      </c>
      <c r="G62" s="54"/>
    </row>
    <row r="63" spans="1:7" x14ac:dyDescent="0.35">
      <c r="A63" s="52" t="s">
        <v>403</v>
      </c>
      <c r="B63" s="53" t="s">
        <v>647</v>
      </c>
      <c r="C63" s="53" t="s">
        <v>158</v>
      </c>
      <c r="D63" s="53" t="s">
        <v>621</v>
      </c>
      <c r="E63" s="53" t="s">
        <v>609</v>
      </c>
      <c r="F63" s="44" t="s">
        <v>106</v>
      </c>
      <c r="G63" s="54"/>
    </row>
    <row r="64" spans="1:7" x14ac:dyDescent="0.35">
      <c r="A64" s="52" t="s">
        <v>403</v>
      </c>
      <c r="B64" s="53" t="s">
        <v>648</v>
      </c>
      <c r="C64" s="53" t="s">
        <v>176</v>
      </c>
      <c r="D64" s="53" t="s">
        <v>639</v>
      </c>
      <c r="E64" s="53" t="s">
        <v>609</v>
      </c>
      <c r="F64" s="44" t="s">
        <v>106</v>
      </c>
      <c r="G64" s="54"/>
    </row>
    <row r="65" spans="1:7" x14ac:dyDescent="0.35">
      <c r="A65" s="52" t="s">
        <v>403</v>
      </c>
      <c r="B65" s="53" t="s">
        <v>649</v>
      </c>
      <c r="C65" s="53" t="s">
        <v>183</v>
      </c>
      <c r="D65" s="53" t="s">
        <v>650</v>
      </c>
      <c r="E65" s="53" t="s">
        <v>609</v>
      </c>
      <c r="F65" s="44" t="s">
        <v>106</v>
      </c>
      <c r="G65" s="54"/>
    </row>
    <row r="66" spans="1:7" x14ac:dyDescent="0.35">
      <c r="A66" s="52" t="s">
        <v>403</v>
      </c>
      <c r="B66" s="53" t="s">
        <v>651</v>
      </c>
      <c r="C66" s="53" t="s">
        <v>103</v>
      </c>
      <c r="D66" s="53" t="s">
        <v>652</v>
      </c>
      <c r="E66" s="53" t="s">
        <v>609</v>
      </c>
      <c r="F66" s="44" t="s">
        <v>106</v>
      </c>
      <c r="G66" s="54"/>
    </row>
    <row r="67" spans="1:7" x14ac:dyDescent="0.35">
      <c r="A67" s="42" t="s">
        <v>66</v>
      </c>
      <c r="B67" s="43" t="s">
        <v>653</v>
      </c>
      <c r="C67" s="43" t="s">
        <v>103</v>
      </c>
      <c r="D67" s="43" t="s">
        <v>630</v>
      </c>
      <c r="E67" s="43" t="s">
        <v>599</v>
      </c>
      <c r="F67" s="44" t="s">
        <v>106</v>
      </c>
      <c r="G67" s="45"/>
    </row>
    <row r="68" spans="1:7" x14ac:dyDescent="0.35">
      <c r="A68" s="42" t="s">
        <v>66</v>
      </c>
      <c r="B68" s="43" t="s">
        <v>654</v>
      </c>
      <c r="C68" s="43" t="s">
        <v>176</v>
      </c>
      <c r="D68" s="43" t="s">
        <v>655</v>
      </c>
      <c r="E68" s="43" t="s">
        <v>599</v>
      </c>
      <c r="F68" s="44" t="s">
        <v>106</v>
      </c>
      <c r="G68" s="45"/>
    </row>
    <row r="69" spans="1:7" x14ac:dyDescent="0.35">
      <c r="A69" s="42" t="s">
        <v>66</v>
      </c>
      <c r="B69" s="43" t="s">
        <v>656</v>
      </c>
      <c r="C69" s="43" t="s">
        <v>176</v>
      </c>
      <c r="D69" s="43" t="s">
        <v>639</v>
      </c>
      <c r="E69" s="43" t="s">
        <v>599</v>
      </c>
      <c r="F69" s="44" t="s">
        <v>106</v>
      </c>
      <c r="G69" s="45"/>
    </row>
    <row r="70" spans="1:7" x14ac:dyDescent="0.35">
      <c r="A70" s="42" t="s">
        <v>66</v>
      </c>
      <c r="B70" s="43" t="s">
        <v>657</v>
      </c>
      <c r="C70" s="43" t="s">
        <v>176</v>
      </c>
      <c r="D70" s="43" t="s">
        <v>323</v>
      </c>
      <c r="E70" s="43" t="s">
        <v>599</v>
      </c>
      <c r="F70" s="44" t="s">
        <v>106</v>
      </c>
      <c r="G70" s="45"/>
    </row>
    <row r="71" spans="1:7" x14ac:dyDescent="0.35">
      <c r="A71" s="42" t="s">
        <v>66</v>
      </c>
      <c r="B71" s="43" t="s">
        <v>658</v>
      </c>
      <c r="C71" s="43" t="s">
        <v>637</v>
      </c>
      <c r="D71" s="43" t="s">
        <v>282</v>
      </c>
      <c r="E71" s="43" t="s">
        <v>609</v>
      </c>
      <c r="F71" s="44" t="s">
        <v>106</v>
      </c>
      <c r="G71" s="45"/>
    </row>
    <row r="72" spans="1:7" x14ac:dyDescent="0.35">
      <c r="A72" s="42" t="s">
        <v>66</v>
      </c>
      <c r="B72" s="43" t="s">
        <v>659</v>
      </c>
      <c r="C72" s="43" t="s">
        <v>183</v>
      </c>
      <c r="D72" s="43" t="s">
        <v>660</v>
      </c>
      <c r="E72" s="43" t="s">
        <v>609</v>
      </c>
      <c r="F72" s="44" t="s">
        <v>106</v>
      </c>
      <c r="G72" s="45"/>
    </row>
    <row r="73" spans="1:7" x14ac:dyDescent="0.35">
      <c r="A73" s="42" t="s">
        <v>66</v>
      </c>
      <c r="B73" s="43" t="s">
        <v>661</v>
      </c>
      <c r="C73" s="43" t="s">
        <v>103</v>
      </c>
      <c r="D73" s="43" t="s">
        <v>662</v>
      </c>
      <c r="E73" s="43" t="s">
        <v>609</v>
      </c>
      <c r="F73" s="44" t="s">
        <v>106</v>
      </c>
      <c r="G73" s="45"/>
    </row>
    <row r="74" spans="1:7" x14ac:dyDescent="0.35">
      <c r="A74" s="46" t="s">
        <v>439</v>
      </c>
      <c r="B74" s="47" t="s">
        <v>663</v>
      </c>
      <c r="C74" s="47" t="s">
        <v>176</v>
      </c>
      <c r="D74" s="47" t="s">
        <v>282</v>
      </c>
      <c r="E74" s="47" t="s">
        <v>599</v>
      </c>
      <c r="F74" s="44" t="s">
        <v>106</v>
      </c>
      <c r="G74" s="48"/>
    </row>
    <row r="75" spans="1:7" x14ac:dyDescent="0.35">
      <c r="A75" s="46" t="s">
        <v>439</v>
      </c>
      <c r="B75" s="47" t="s">
        <v>664</v>
      </c>
      <c r="C75" s="47" t="s">
        <v>176</v>
      </c>
      <c r="D75" s="47" t="s">
        <v>282</v>
      </c>
      <c r="E75" s="47" t="s">
        <v>599</v>
      </c>
      <c r="F75" s="44" t="s">
        <v>106</v>
      </c>
      <c r="G75" s="48"/>
    </row>
    <row r="76" spans="1:7" x14ac:dyDescent="0.35">
      <c r="A76" s="46" t="s">
        <v>439</v>
      </c>
      <c r="B76" s="47" t="s">
        <v>665</v>
      </c>
      <c r="C76" s="47" t="s">
        <v>158</v>
      </c>
      <c r="D76" s="47" t="s">
        <v>666</v>
      </c>
      <c r="E76" s="47" t="s">
        <v>599</v>
      </c>
      <c r="F76" s="44" t="s">
        <v>106</v>
      </c>
      <c r="G76" s="48"/>
    </row>
    <row r="77" spans="1:7" x14ac:dyDescent="0.35">
      <c r="A77" s="46" t="s">
        <v>439</v>
      </c>
      <c r="B77" s="47" t="s">
        <v>667</v>
      </c>
      <c r="C77" s="47" t="s">
        <v>176</v>
      </c>
      <c r="D77" s="47" t="s">
        <v>666</v>
      </c>
      <c r="E77" s="47" t="s">
        <v>599</v>
      </c>
      <c r="F77" s="44" t="s">
        <v>106</v>
      </c>
      <c r="G77" s="48"/>
    </row>
    <row r="78" spans="1:7" x14ac:dyDescent="0.35">
      <c r="A78" s="46" t="s">
        <v>439</v>
      </c>
      <c r="B78" s="47" t="s">
        <v>668</v>
      </c>
      <c r="C78" s="47" t="s">
        <v>176</v>
      </c>
      <c r="D78" s="47" t="s">
        <v>282</v>
      </c>
      <c r="E78" s="47" t="s">
        <v>609</v>
      </c>
      <c r="F78" s="44" t="s">
        <v>106</v>
      </c>
      <c r="G78" s="48"/>
    </row>
    <row r="79" spans="1:7" x14ac:dyDescent="0.35">
      <c r="A79" s="46" t="s">
        <v>439</v>
      </c>
      <c r="B79" s="47" t="s">
        <v>669</v>
      </c>
      <c r="C79" s="47" t="s">
        <v>441</v>
      </c>
      <c r="D79" s="47" t="s">
        <v>626</v>
      </c>
      <c r="E79" s="47" t="s">
        <v>599</v>
      </c>
      <c r="F79" s="44" t="s">
        <v>106</v>
      </c>
      <c r="G79" s="48"/>
    </row>
    <row r="80" spans="1:7" x14ac:dyDescent="0.35">
      <c r="A80" s="49" t="s">
        <v>454</v>
      </c>
      <c r="B80" s="50" t="s">
        <v>670</v>
      </c>
      <c r="C80" s="50" t="s">
        <v>103</v>
      </c>
      <c r="D80" s="50" t="s">
        <v>671</v>
      </c>
      <c r="E80" s="50" t="s">
        <v>599</v>
      </c>
      <c r="F80" s="44" t="s">
        <v>106</v>
      </c>
      <c r="G80" s="51"/>
    </row>
    <row r="81" spans="1:7" x14ac:dyDescent="0.35">
      <c r="A81" s="49" t="s">
        <v>454</v>
      </c>
      <c r="B81" s="50" t="s">
        <v>672</v>
      </c>
      <c r="C81" s="50" t="s">
        <v>673</v>
      </c>
      <c r="D81" s="50" t="s">
        <v>674</v>
      </c>
      <c r="E81" s="50" t="s">
        <v>609</v>
      </c>
      <c r="F81" s="44" t="s">
        <v>106</v>
      </c>
      <c r="G81" s="51"/>
    </row>
    <row r="82" spans="1:7" x14ac:dyDescent="0.35">
      <c r="A82" s="49" t="s">
        <v>454</v>
      </c>
      <c r="B82" s="50" t="s">
        <v>675</v>
      </c>
      <c r="C82" s="50" t="s">
        <v>183</v>
      </c>
      <c r="D82" s="50" t="s">
        <v>676</v>
      </c>
      <c r="E82" s="50" t="s">
        <v>609</v>
      </c>
      <c r="F82" s="44" t="s">
        <v>106</v>
      </c>
      <c r="G82" s="51"/>
    </row>
    <row r="83" spans="1:7" x14ac:dyDescent="0.35">
      <c r="A83" s="49" t="s">
        <v>454</v>
      </c>
      <c r="B83" s="50" t="s">
        <v>677</v>
      </c>
      <c r="C83" s="50" t="s">
        <v>678</v>
      </c>
      <c r="D83" s="50" t="s">
        <v>679</v>
      </c>
      <c r="E83" s="50" t="s">
        <v>609</v>
      </c>
      <c r="F83" s="44" t="s">
        <v>106</v>
      </c>
      <c r="G83" s="51"/>
    </row>
    <row r="84" spans="1:7" x14ac:dyDescent="0.35">
      <c r="A84" s="49" t="s">
        <v>454</v>
      </c>
      <c r="B84" s="50" t="s">
        <v>680</v>
      </c>
      <c r="C84" s="50" t="s">
        <v>103</v>
      </c>
      <c r="D84" s="50" t="s">
        <v>681</v>
      </c>
      <c r="E84" s="50" t="s">
        <v>609</v>
      </c>
      <c r="F84" s="44" t="s">
        <v>106</v>
      </c>
      <c r="G84" s="51"/>
    </row>
    <row r="85" spans="1:7" x14ac:dyDescent="0.35">
      <c r="A85" s="49" t="s">
        <v>454</v>
      </c>
      <c r="B85" s="50" t="s">
        <v>682</v>
      </c>
      <c r="C85" s="50" t="s">
        <v>456</v>
      </c>
      <c r="D85" s="50" t="s">
        <v>626</v>
      </c>
      <c r="E85" s="50" t="s">
        <v>599</v>
      </c>
      <c r="F85" s="44" t="s">
        <v>106</v>
      </c>
      <c r="G85" s="51"/>
    </row>
    <row r="86" spans="1:7" x14ac:dyDescent="0.35">
      <c r="A86" s="52" t="s">
        <v>70</v>
      </c>
      <c r="B86" s="53" t="s">
        <v>683</v>
      </c>
      <c r="C86" s="53" t="s">
        <v>103</v>
      </c>
      <c r="D86" s="53" t="s">
        <v>684</v>
      </c>
      <c r="E86" s="53" t="s">
        <v>599</v>
      </c>
      <c r="F86" s="44" t="s">
        <v>106</v>
      </c>
      <c r="G86" s="54"/>
    </row>
    <row r="87" spans="1:7" x14ac:dyDescent="0.35">
      <c r="A87" s="52" t="s">
        <v>70</v>
      </c>
      <c r="B87" s="53" t="s">
        <v>442</v>
      </c>
      <c r="C87" s="53" t="s">
        <v>176</v>
      </c>
      <c r="D87" s="53" t="s">
        <v>425</v>
      </c>
      <c r="E87" s="53" t="s">
        <v>599</v>
      </c>
      <c r="F87" s="44" t="s">
        <v>106</v>
      </c>
      <c r="G87" s="54"/>
    </row>
    <row r="88" spans="1:7" x14ac:dyDescent="0.35">
      <c r="A88" s="52" t="s">
        <v>70</v>
      </c>
      <c r="B88" s="53" t="s">
        <v>685</v>
      </c>
      <c r="C88" s="53" t="s">
        <v>176</v>
      </c>
      <c r="D88" s="53" t="s">
        <v>632</v>
      </c>
      <c r="E88" s="53" t="s">
        <v>599</v>
      </c>
      <c r="F88" s="44" t="s">
        <v>106</v>
      </c>
      <c r="G88" s="54"/>
    </row>
    <row r="89" spans="1:7" x14ac:dyDescent="0.35">
      <c r="A89" s="52" t="s">
        <v>70</v>
      </c>
      <c r="B89" s="53" t="s">
        <v>686</v>
      </c>
      <c r="C89" s="53" t="s">
        <v>183</v>
      </c>
      <c r="D89" s="53" t="s">
        <v>687</v>
      </c>
      <c r="E89" s="53" t="s">
        <v>599</v>
      </c>
      <c r="F89" s="44" t="s">
        <v>106</v>
      </c>
      <c r="G89" s="54"/>
    </row>
    <row r="90" spans="1:7" x14ac:dyDescent="0.35">
      <c r="A90" s="52" t="s">
        <v>70</v>
      </c>
      <c r="B90" s="53" t="s">
        <v>688</v>
      </c>
      <c r="C90" s="53" t="s">
        <v>176</v>
      </c>
      <c r="D90" s="53" t="s">
        <v>464</v>
      </c>
      <c r="E90" s="53" t="s">
        <v>599</v>
      </c>
      <c r="F90" s="44" t="s">
        <v>106</v>
      </c>
      <c r="G90" s="54"/>
    </row>
    <row r="91" spans="1:7" x14ac:dyDescent="0.35">
      <c r="A91" s="52" t="s">
        <v>70</v>
      </c>
      <c r="B91" s="53" t="s">
        <v>689</v>
      </c>
      <c r="C91" s="53" t="s">
        <v>205</v>
      </c>
      <c r="D91" s="53" t="s">
        <v>690</v>
      </c>
      <c r="E91" s="53" t="s">
        <v>609</v>
      </c>
      <c r="F91" s="44" t="s">
        <v>106</v>
      </c>
      <c r="G91" s="54"/>
    </row>
    <row r="92" spans="1:7" x14ac:dyDescent="0.35">
      <c r="A92" s="55" t="s">
        <v>70</v>
      </c>
      <c r="B92" s="56" t="s">
        <v>691</v>
      </c>
      <c r="C92" s="56" t="s">
        <v>643</v>
      </c>
      <c r="D92" s="56" t="s">
        <v>692</v>
      </c>
      <c r="E92" s="56" t="s">
        <v>609</v>
      </c>
      <c r="F92" s="57" t="s">
        <v>106</v>
      </c>
      <c r="G92" s="58"/>
    </row>
  </sheetData>
  <mergeCells count="2">
    <mergeCell ref="A2:G2"/>
    <mergeCell ref="A1:G1"/>
  </mergeCells>
  <dataValidations count="1">
    <dataValidation type="list" sqref="F5:F92" xr:uid="{00000000-0002-0000-0500-000000000000}">
      <formula1>"Not Started,In Progress,Complete,Blocked"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2"/>
  <sheetViews>
    <sheetView showGridLines="0" workbookViewId="0">
      <pane ySplit="3" topLeftCell="A4" activePane="bottomLeft" state="frozen"/>
      <selection pane="bottomLeft" sqref="A1:P1"/>
    </sheetView>
  </sheetViews>
  <sheetFormatPr defaultRowHeight="14.5" x14ac:dyDescent="0.35"/>
  <cols>
    <col min="1" max="1" width="10" style="59" customWidth="1"/>
    <col min="2" max="2" width="16" style="59" customWidth="1"/>
    <col min="3" max="3" width="65" style="59" customWidth="1"/>
    <col min="4" max="4" width="28" style="59" customWidth="1"/>
    <col min="5" max="5" width="16" style="59" customWidth="1"/>
    <col min="6" max="6" width="60" style="59" customWidth="1"/>
    <col min="7" max="9" width="14" style="59" customWidth="1"/>
    <col min="10" max="10" width="16" style="59" customWidth="1"/>
    <col min="11" max="11" width="14" style="59" customWidth="1"/>
    <col min="12" max="12" width="20" style="59" customWidth="1"/>
    <col min="13" max="13" width="18" style="59" customWidth="1"/>
    <col min="14" max="14" width="65" style="59" customWidth="1"/>
    <col min="15" max="15" width="16" style="59" customWidth="1"/>
    <col min="16" max="16" width="12" style="59" customWidth="1"/>
  </cols>
  <sheetData>
    <row r="1" spans="1:16" ht="30" customHeight="1" x14ac:dyDescent="0.35">
      <c r="A1" s="67" t="s">
        <v>693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ht="29" customHeight="1" x14ac:dyDescent="0.35">
      <c r="A3" s="24" t="s">
        <v>694</v>
      </c>
      <c r="B3" s="25" t="s">
        <v>695</v>
      </c>
      <c r="C3" s="25" t="s">
        <v>696</v>
      </c>
      <c r="D3" s="25" t="s">
        <v>697</v>
      </c>
      <c r="E3" s="25" t="s">
        <v>698</v>
      </c>
      <c r="F3" s="25" t="s">
        <v>699</v>
      </c>
      <c r="G3" s="25" t="s">
        <v>700</v>
      </c>
      <c r="H3" s="25" t="s">
        <v>701</v>
      </c>
      <c r="I3" s="25" t="s">
        <v>702</v>
      </c>
      <c r="J3" s="25" t="s">
        <v>703</v>
      </c>
      <c r="K3" s="25" t="s">
        <v>704</v>
      </c>
      <c r="L3" s="25" t="s">
        <v>705</v>
      </c>
      <c r="M3" s="25" t="s">
        <v>706</v>
      </c>
      <c r="N3" s="25" t="s">
        <v>707</v>
      </c>
      <c r="O3" s="25" t="s">
        <v>89</v>
      </c>
      <c r="P3" s="26" t="s">
        <v>93</v>
      </c>
    </row>
    <row r="4" spans="1:16" ht="43.5" customHeight="1" x14ac:dyDescent="0.35">
      <c r="A4" s="7" t="s">
        <v>708</v>
      </c>
      <c r="B4" s="60" t="s">
        <v>709</v>
      </c>
      <c r="C4" s="60" t="s">
        <v>710</v>
      </c>
      <c r="D4" s="60" t="s">
        <v>711</v>
      </c>
      <c r="E4" s="60" t="s">
        <v>220</v>
      </c>
      <c r="F4" s="60" t="s">
        <v>221</v>
      </c>
      <c r="G4" s="60">
        <v>3</v>
      </c>
      <c r="H4" s="12">
        <v>46321</v>
      </c>
      <c r="I4" s="60">
        <v>6</v>
      </c>
      <c r="J4" s="60">
        <v>-3</v>
      </c>
      <c r="K4" s="12">
        <v>46279</v>
      </c>
      <c r="L4" s="60" t="s">
        <v>712</v>
      </c>
      <c r="M4" s="60" t="s">
        <v>713</v>
      </c>
      <c r="N4" s="60" t="s">
        <v>714</v>
      </c>
      <c r="O4" s="60" t="s">
        <v>106</v>
      </c>
      <c r="P4" s="8" t="s">
        <v>587</v>
      </c>
    </row>
    <row r="5" spans="1:16" ht="29" customHeight="1" x14ac:dyDescent="0.35">
      <c r="A5" s="7" t="s">
        <v>715</v>
      </c>
      <c r="B5" s="60" t="s">
        <v>709</v>
      </c>
      <c r="C5" s="60" t="s">
        <v>716</v>
      </c>
      <c r="D5" s="60" t="s">
        <v>717</v>
      </c>
      <c r="E5" s="60" t="s">
        <v>246</v>
      </c>
      <c r="F5" s="60" t="s">
        <v>247</v>
      </c>
      <c r="G5" s="60">
        <v>5</v>
      </c>
      <c r="H5" s="12">
        <v>46335</v>
      </c>
      <c r="I5" s="60">
        <v>3</v>
      </c>
      <c r="J5" s="60">
        <v>2</v>
      </c>
      <c r="K5" s="12">
        <v>46314</v>
      </c>
      <c r="L5" s="60" t="s">
        <v>718</v>
      </c>
      <c r="M5" s="60" t="s">
        <v>719</v>
      </c>
      <c r="N5" s="60" t="s">
        <v>720</v>
      </c>
      <c r="O5" s="60" t="s">
        <v>106</v>
      </c>
      <c r="P5" s="8" t="s">
        <v>16</v>
      </c>
    </row>
    <row r="6" spans="1:16" ht="29" customHeight="1" x14ac:dyDescent="0.35">
      <c r="A6" s="7" t="s">
        <v>721</v>
      </c>
      <c r="B6" s="60" t="s">
        <v>709</v>
      </c>
      <c r="C6" s="60" t="s">
        <v>722</v>
      </c>
      <c r="D6" s="60" t="s">
        <v>723</v>
      </c>
      <c r="E6" s="60" t="s">
        <v>351</v>
      </c>
      <c r="F6" s="60" t="s">
        <v>352</v>
      </c>
      <c r="G6" s="60">
        <v>9</v>
      </c>
      <c r="H6" s="12">
        <v>46363</v>
      </c>
      <c r="I6" s="60">
        <v>5</v>
      </c>
      <c r="J6" s="60">
        <v>4</v>
      </c>
      <c r="K6" s="12">
        <v>46328</v>
      </c>
      <c r="L6" s="60" t="s">
        <v>718</v>
      </c>
      <c r="M6" s="60" t="s">
        <v>521</v>
      </c>
      <c r="N6" s="60" t="s">
        <v>724</v>
      </c>
      <c r="O6" s="60" t="s">
        <v>106</v>
      </c>
      <c r="P6" s="8" t="s">
        <v>587</v>
      </c>
    </row>
    <row r="7" spans="1:16" ht="29" customHeight="1" x14ac:dyDescent="0.35">
      <c r="A7" s="7" t="s">
        <v>725</v>
      </c>
      <c r="B7" s="60" t="s">
        <v>709</v>
      </c>
      <c r="C7" s="60" t="s">
        <v>726</v>
      </c>
      <c r="D7" s="60" t="s">
        <v>727</v>
      </c>
      <c r="E7" s="60" t="s">
        <v>348</v>
      </c>
      <c r="F7" s="60" t="s">
        <v>349</v>
      </c>
      <c r="G7" s="60">
        <v>9</v>
      </c>
      <c r="H7" s="12">
        <v>46363</v>
      </c>
      <c r="I7" s="60">
        <v>4</v>
      </c>
      <c r="J7" s="60">
        <v>5</v>
      </c>
      <c r="K7" s="12">
        <v>46335</v>
      </c>
      <c r="L7" s="60"/>
      <c r="M7" s="60" t="s">
        <v>728</v>
      </c>
      <c r="N7" s="60" t="s">
        <v>729</v>
      </c>
      <c r="O7" s="60" t="s">
        <v>106</v>
      </c>
      <c r="P7" s="8" t="s">
        <v>16</v>
      </c>
    </row>
    <row r="8" spans="1:16" ht="29" customHeight="1" x14ac:dyDescent="0.35">
      <c r="A8" s="7" t="s">
        <v>730</v>
      </c>
      <c r="B8" s="60" t="s">
        <v>709</v>
      </c>
      <c r="C8" s="60" t="s">
        <v>731</v>
      </c>
      <c r="D8" s="60" t="s">
        <v>732</v>
      </c>
      <c r="E8" s="60" t="s">
        <v>365</v>
      </c>
      <c r="F8" s="60" t="s">
        <v>366</v>
      </c>
      <c r="G8" s="60">
        <v>14</v>
      </c>
      <c r="H8" s="12">
        <v>46398</v>
      </c>
      <c r="I8" s="60">
        <v>6</v>
      </c>
      <c r="J8" s="60">
        <v>8</v>
      </c>
      <c r="K8" s="12">
        <v>46356</v>
      </c>
      <c r="L8" s="60"/>
      <c r="M8" s="60" t="s">
        <v>728</v>
      </c>
      <c r="N8" s="60" t="s">
        <v>733</v>
      </c>
      <c r="O8" s="60" t="s">
        <v>106</v>
      </c>
      <c r="P8" s="8" t="s">
        <v>16</v>
      </c>
    </row>
    <row r="9" spans="1:16" ht="29" customHeight="1" x14ac:dyDescent="0.35">
      <c r="A9" s="7" t="s">
        <v>734</v>
      </c>
      <c r="B9" s="60" t="s">
        <v>709</v>
      </c>
      <c r="C9" s="60" t="s">
        <v>735</v>
      </c>
      <c r="D9" s="60" t="s">
        <v>171</v>
      </c>
      <c r="E9" s="60" t="s">
        <v>348</v>
      </c>
      <c r="F9" s="60" t="s">
        <v>349</v>
      </c>
      <c r="G9" s="60">
        <v>9</v>
      </c>
      <c r="H9" s="12">
        <v>46363</v>
      </c>
      <c r="I9" s="60">
        <v>3</v>
      </c>
      <c r="J9" s="60">
        <v>6</v>
      </c>
      <c r="K9" s="12">
        <v>46342</v>
      </c>
      <c r="L9" s="60"/>
      <c r="M9" s="60" t="s">
        <v>736</v>
      </c>
      <c r="N9" s="60" t="s">
        <v>737</v>
      </c>
      <c r="O9" s="60" t="s">
        <v>106</v>
      </c>
      <c r="P9" s="8" t="s">
        <v>16</v>
      </c>
    </row>
    <row r="10" spans="1:16" ht="29" customHeight="1" x14ac:dyDescent="0.35">
      <c r="A10" s="7" t="s">
        <v>738</v>
      </c>
      <c r="B10" s="60" t="s">
        <v>709</v>
      </c>
      <c r="C10" s="60" t="s">
        <v>739</v>
      </c>
      <c r="D10" s="60" t="s">
        <v>740</v>
      </c>
      <c r="E10" s="60" t="s">
        <v>317</v>
      </c>
      <c r="F10" s="60" t="s">
        <v>318</v>
      </c>
      <c r="G10" s="60">
        <v>10</v>
      </c>
      <c r="H10" s="12">
        <v>46370</v>
      </c>
      <c r="I10" s="60">
        <v>3</v>
      </c>
      <c r="J10" s="60">
        <v>7</v>
      </c>
      <c r="K10" s="12">
        <v>46349</v>
      </c>
      <c r="L10" s="60"/>
      <c r="M10" s="60" t="s">
        <v>713</v>
      </c>
      <c r="N10" s="60" t="s">
        <v>741</v>
      </c>
      <c r="O10" s="60" t="s">
        <v>106</v>
      </c>
      <c r="P10" s="8" t="s">
        <v>9</v>
      </c>
    </row>
    <row r="11" spans="1:16" ht="29" customHeight="1" x14ac:dyDescent="0.35">
      <c r="A11" s="7" t="s">
        <v>742</v>
      </c>
      <c r="B11" s="60" t="s">
        <v>709</v>
      </c>
      <c r="C11" s="60" t="s">
        <v>743</v>
      </c>
      <c r="D11" s="60" t="s">
        <v>158</v>
      </c>
      <c r="E11" s="60" t="s">
        <v>217</v>
      </c>
      <c r="F11" s="60" t="s">
        <v>218</v>
      </c>
      <c r="G11" s="60">
        <v>2</v>
      </c>
      <c r="H11" s="12">
        <v>46314</v>
      </c>
      <c r="I11" s="60">
        <v>2</v>
      </c>
      <c r="J11" s="60">
        <v>0</v>
      </c>
      <c r="K11" s="12">
        <v>46300</v>
      </c>
      <c r="L11" s="60" t="s">
        <v>712</v>
      </c>
      <c r="M11" s="60" t="s">
        <v>744</v>
      </c>
      <c r="N11" s="60" t="s">
        <v>745</v>
      </c>
      <c r="O11" s="60" t="s">
        <v>106</v>
      </c>
      <c r="P11" s="8" t="s">
        <v>16</v>
      </c>
    </row>
    <row r="12" spans="1:16" ht="29" customHeight="1" x14ac:dyDescent="0.35">
      <c r="A12" s="7" t="s">
        <v>746</v>
      </c>
      <c r="B12" s="60" t="s">
        <v>709</v>
      </c>
      <c r="C12" s="60" t="s">
        <v>747</v>
      </c>
      <c r="D12" s="60" t="s">
        <v>205</v>
      </c>
      <c r="E12" s="60" t="s">
        <v>203</v>
      </c>
      <c r="F12" s="60" t="s">
        <v>204</v>
      </c>
      <c r="G12" s="60">
        <v>2</v>
      </c>
      <c r="H12" s="12">
        <v>46314</v>
      </c>
      <c r="I12" s="60">
        <v>2</v>
      </c>
      <c r="J12" s="60">
        <v>0</v>
      </c>
      <c r="K12" s="12">
        <v>46300</v>
      </c>
      <c r="L12" s="60" t="s">
        <v>712</v>
      </c>
      <c r="M12" s="60" t="s">
        <v>713</v>
      </c>
      <c r="N12" s="60" t="s">
        <v>748</v>
      </c>
      <c r="O12" s="60" t="s">
        <v>106</v>
      </c>
      <c r="P12" s="8" t="s">
        <v>16</v>
      </c>
    </row>
    <row r="13" spans="1:16" x14ac:dyDescent="0.35">
      <c r="A13" s="7" t="s">
        <v>749</v>
      </c>
      <c r="B13" s="60" t="s">
        <v>709</v>
      </c>
      <c r="C13" s="60" t="s">
        <v>750</v>
      </c>
      <c r="D13" s="60" t="s">
        <v>751</v>
      </c>
      <c r="E13" s="60" t="s">
        <v>207</v>
      </c>
      <c r="F13" s="60" t="s">
        <v>208</v>
      </c>
      <c r="G13" s="60">
        <v>2</v>
      </c>
      <c r="H13" s="12">
        <v>46314</v>
      </c>
      <c r="I13" s="60">
        <v>1</v>
      </c>
      <c r="J13" s="60">
        <v>1</v>
      </c>
      <c r="K13" s="12">
        <v>46307</v>
      </c>
      <c r="L13" s="60" t="s">
        <v>712</v>
      </c>
      <c r="M13" s="60" t="s">
        <v>713</v>
      </c>
      <c r="N13" s="60" t="s">
        <v>752</v>
      </c>
      <c r="O13" s="60" t="s">
        <v>106</v>
      </c>
      <c r="P13" s="8" t="s">
        <v>9</v>
      </c>
    </row>
    <row r="14" spans="1:16" x14ac:dyDescent="0.35">
      <c r="A14" s="7" t="s">
        <v>753</v>
      </c>
      <c r="B14" s="60" t="s">
        <v>709</v>
      </c>
      <c r="C14" s="60" t="s">
        <v>754</v>
      </c>
      <c r="D14" s="60" t="s">
        <v>755</v>
      </c>
      <c r="E14" s="60" t="s">
        <v>254</v>
      </c>
      <c r="F14" s="60" t="s">
        <v>256</v>
      </c>
      <c r="G14" s="60">
        <v>5</v>
      </c>
      <c r="H14" s="12">
        <v>46335</v>
      </c>
      <c r="I14" s="60">
        <v>3</v>
      </c>
      <c r="J14" s="60">
        <v>2</v>
      </c>
      <c r="K14" s="12">
        <v>46314</v>
      </c>
      <c r="L14" s="60" t="s">
        <v>718</v>
      </c>
      <c r="M14" s="60" t="s">
        <v>713</v>
      </c>
      <c r="N14" s="60" t="s">
        <v>756</v>
      </c>
      <c r="O14" s="60" t="s">
        <v>106</v>
      </c>
      <c r="P14" s="8" t="s">
        <v>16</v>
      </c>
    </row>
    <row r="15" spans="1:16" ht="29" customHeight="1" x14ac:dyDescent="0.35">
      <c r="A15" s="7" t="s">
        <v>757</v>
      </c>
      <c r="B15" s="60" t="s">
        <v>709</v>
      </c>
      <c r="C15" s="60" t="s">
        <v>758</v>
      </c>
      <c r="D15" s="60" t="s">
        <v>759</v>
      </c>
      <c r="E15" s="60" t="s">
        <v>246</v>
      </c>
      <c r="F15" s="60" t="s">
        <v>247</v>
      </c>
      <c r="G15" s="60">
        <v>5</v>
      </c>
      <c r="H15" s="12">
        <v>46335</v>
      </c>
      <c r="I15" s="60">
        <v>3</v>
      </c>
      <c r="J15" s="60">
        <v>2</v>
      </c>
      <c r="K15" s="12">
        <v>46314</v>
      </c>
      <c r="L15" s="60" t="s">
        <v>718</v>
      </c>
      <c r="M15" s="60" t="s">
        <v>760</v>
      </c>
      <c r="N15" s="60" t="s">
        <v>761</v>
      </c>
      <c r="O15" s="60" t="s">
        <v>106</v>
      </c>
      <c r="P15" s="8" t="s">
        <v>16</v>
      </c>
    </row>
    <row r="16" spans="1:16" ht="29" customHeight="1" x14ac:dyDescent="0.35">
      <c r="A16" s="7" t="s">
        <v>762</v>
      </c>
      <c r="B16" s="60" t="s">
        <v>709</v>
      </c>
      <c r="C16" s="60" t="s">
        <v>763</v>
      </c>
      <c r="D16" s="60" t="s">
        <v>764</v>
      </c>
      <c r="E16" s="60" t="s">
        <v>211</v>
      </c>
      <c r="F16" s="60" t="s">
        <v>212</v>
      </c>
      <c r="G16" s="60">
        <v>2</v>
      </c>
      <c r="H16" s="12">
        <v>46314</v>
      </c>
      <c r="I16" s="60">
        <v>2</v>
      </c>
      <c r="J16" s="60">
        <v>0</v>
      </c>
      <c r="K16" s="12">
        <v>46300</v>
      </c>
      <c r="L16" s="60" t="s">
        <v>712</v>
      </c>
      <c r="M16" s="60" t="s">
        <v>521</v>
      </c>
      <c r="N16" s="60" t="s">
        <v>765</v>
      </c>
      <c r="O16" s="60" t="s">
        <v>106</v>
      </c>
      <c r="P16" s="8" t="s">
        <v>16</v>
      </c>
    </row>
    <row r="17" spans="1:16" ht="29" customHeight="1" x14ac:dyDescent="0.35">
      <c r="A17" s="7" t="s">
        <v>766</v>
      </c>
      <c r="B17" s="60" t="s">
        <v>767</v>
      </c>
      <c r="C17" s="60" t="s">
        <v>768</v>
      </c>
      <c r="D17" s="60" t="s">
        <v>205</v>
      </c>
      <c r="E17" s="60" t="s">
        <v>48</v>
      </c>
      <c r="F17" s="60" t="s">
        <v>230</v>
      </c>
      <c r="G17" s="60">
        <v>4</v>
      </c>
      <c r="H17" s="12">
        <v>46328</v>
      </c>
      <c r="I17" s="60">
        <v>4</v>
      </c>
      <c r="J17" s="60">
        <v>0</v>
      </c>
      <c r="K17" s="12">
        <v>46300</v>
      </c>
      <c r="L17" s="60" t="s">
        <v>712</v>
      </c>
      <c r="M17" s="60" t="s">
        <v>713</v>
      </c>
      <c r="N17" s="60" t="s">
        <v>769</v>
      </c>
      <c r="O17" s="60" t="s">
        <v>106</v>
      </c>
      <c r="P17" s="8" t="s">
        <v>16</v>
      </c>
    </row>
    <row r="18" spans="1:16" ht="29" customHeight="1" x14ac:dyDescent="0.35">
      <c r="A18" s="7" t="s">
        <v>770</v>
      </c>
      <c r="B18" s="60" t="s">
        <v>767</v>
      </c>
      <c r="C18" s="60" t="s">
        <v>771</v>
      </c>
      <c r="D18" s="60" t="s">
        <v>772</v>
      </c>
      <c r="E18" s="60" t="s">
        <v>348</v>
      </c>
      <c r="F18" s="60" t="s">
        <v>349</v>
      </c>
      <c r="G18" s="60">
        <v>9</v>
      </c>
      <c r="H18" s="12">
        <v>46363</v>
      </c>
      <c r="I18" s="60">
        <v>4</v>
      </c>
      <c r="J18" s="60">
        <v>5</v>
      </c>
      <c r="K18" s="12">
        <v>46335</v>
      </c>
      <c r="L18" s="60"/>
      <c r="M18" s="60" t="s">
        <v>736</v>
      </c>
      <c r="N18" s="60" t="s">
        <v>773</v>
      </c>
      <c r="O18" s="60" t="s">
        <v>106</v>
      </c>
      <c r="P18" s="8" t="s">
        <v>9</v>
      </c>
    </row>
    <row r="19" spans="1:16" x14ac:dyDescent="0.35">
      <c r="A19" s="7" t="s">
        <v>774</v>
      </c>
      <c r="B19" s="60" t="s">
        <v>767</v>
      </c>
      <c r="C19" s="60" t="s">
        <v>775</v>
      </c>
      <c r="D19" s="60" t="s">
        <v>135</v>
      </c>
      <c r="E19" s="60" t="s">
        <v>269</v>
      </c>
      <c r="F19" s="60" t="s">
        <v>270</v>
      </c>
      <c r="G19" s="60">
        <v>7</v>
      </c>
      <c r="H19" s="12">
        <v>46349</v>
      </c>
      <c r="I19" s="60">
        <v>4</v>
      </c>
      <c r="J19" s="60">
        <v>3</v>
      </c>
      <c r="K19" s="12">
        <v>46321</v>
      </c>
      <c r="L19" s="60" t="s">
        <v>718</v>
      </c>
      <c r="M19" s="60" t="s">
        <v>713</v>
      </c>
      <c r="N19" s="60" t="s">
        <v>776</v>
      </c>
      <c r="O19" s="60" t="s">
        <v>106</v>
      </c>
      <c r="P19" s="8" t="s">
        <v>16</v>
      </c>
    </row>
    <row r="20" spans="1:16" ht="29" customHeight="1" x14ac:dyDescent="0.35">
      <c r="A20" s="7" t="s">
        <v>777</v>
      </c>
      <c r="B20" s="60" t="s">
        <v>767</v>
      </c>
      <c r="C20" s="60" t="s">
        <v>778</v>
      </c>
      <c r="D20" s="60" t="s">
        <v>183</v>
      </c>
      <c r="E20" s="60" t="s">
        <v>246</v>
      </c>
      <c r="F20" s="60" t="s">
        <v>247</v>
      </c>
      <c r="G20" s="60">
        <v>5</v>
      </c>
      <c r="H20" s="12">
        <v>46335</v>
      </c>
      <c r="I20" s="60">
        <v>3</v>
      </c>
      <c r="J20" s="60">
        <v>2</v>
      </c>
      <c r="K20" s="12">
        <v>46314</v>
      </c>
      <c r="L20" s="60" t="s">
        <v>718</v>
      </c>
      <c r="M20" s="60" t="s">
        <v>713</v>
      </c>
      <c r="N20" s="60" t="s">
        <v>779</v>
      </c>
      <c r="O20" s="60" t="s">
        <v>106</v>
      </c>
      <c r="P20" s="8" t="s">
        <v>16</v>
      </c>
    </row>
    <row r="21" spans="1:16" x14ac:dyDescent="0.35">
      <c r="A21" s="7" t="s">
        <v>780</v>
      </c>
      <c r="B21" s="60" t="s">
        <v>767</v>
      </c>
      <c r="C21" s="60" t="s">
        <v>781</v>
      </c>
      <c r="D21" s="60" t="s">
        <v>782</v>
      </c>
      <c r="E21" s="60" t="s">
        <v>341</v>
      </c>
      <c r="F21" s="60" t="s">
        <v>342</v>
      </c>
      <c r="G21" s="60">
        <v>6</v>
      </c>
      <c r="H21" s="12">
        <v>46342</v>
      </c>
      <c r="I21" s="60">
        <v>6</v>
      </c>
      <c r="J21" s="60">
        <v>0</v>
      </c>
      <c r="K21" s="12">
        <v>46300</v>
      </c>
      <c r="L21" s="60" t="s">
        <v>712</v>
      </c>
      <c r="M21" s="60" t="s">
        <v>736</v>
      </c>
      <c r="N21" s="60" t="s">
        <v>783</v>
      </c>
      <c r="O21" s="60" t="s">
        <v>106</v>
      </c>
      <c r="P21" s="8" t="s">
        <v>587</v>
      </c>
    </row>
    <row r="22" spans="1:16" ht="29" customHeight="1" x14ac:dyDescent="0.35">
      <c r="A22" s="7" t="s">
        <v>784</v>
      </c>
      <c r="B22" s="60" t="s">
        <v>767</v>
      </c>
      <c r="C22" s="60" t="s">
        <v>785</v>
      </c>
      <c r="D22" s="60" t="s">
        <v>786</v>
      </c>
      <c r="E22" s="60" t="s">
        <v>300</v>
      </c>
      <c r="F22" s="60" t="s">
        <v>301</v>
      </c>
      <c r="G22" s="60">
        <v>6</v>
      </c>
      <c r="H22" s="12">
        <v>46342</v>
      </c>
      <c r="I22" s="60">
        <v>4</v>
      </c>
      <c r="J22" s="60">
        <v>2</v>
      </c>
      <c r="K22" s="12">
        <v>46314</v>
      </c>
      <c r="L22" s="60" t="s">
        <v>718</v>
      </c>
      <c r="M22" s="60" t="s">
        <v>713</v>
      </c>
      <c r="N22" s="60" t="s">
        <v>787</v>
      </c>
      <c r="O22" s="60" t="s">
        <v>106</v>
      </c>
      <c r="P22" s="8" t="s">
        <v>16</v>
      </c>
    </row>
    <row r="23" spans="1:16" x14ac:dyDescent="0.35">
      <c r="A23" s="7" t="s">
        <v>788</v>
      </c>
      <c r="B23" s="60" t="s">
        <v>767</v>
      </c>
      <c r="C23" s="60" t="s">
        <v>789</v>
      </c>
      <c r="D23" s="60" t="s">
        <v>790</v>
      </c>
      <c r="E23" s="60" t="s">
        <v>190</v>
      </c>
      <c r="F23" s="60" t="s">
        <v>191</v>
      </c>
      <c r="G23" s="60">
        <v>1</v>
      </c>
      <c r="H23" s="12">
        <v>46307</v>
      </c>
      <c r="I23" s="60">
        <v>2</v>
      </c>
      <c r="J23" s="60">
        <v>-1</v>
      </c>
      <c r="K23" s="12">
        <v>46293</v>
      </c>
      <c r="L23" s="60" t="s">
        <v>712</v>
      </c>
      <c r="M23" s="60" t="s">
        <v>713</v>
      </c>
      <c r="N23" s="60" t="s">
        <v>791</v>
      </c>
      <c r="O23" s="60" t="s">
        <v>106</v>
      </c>
      <c r="P23" s="8" t="s">
        <v>9</v>
      </c>
    </row>
    <row r="24" spans="1:16" x14ac:dyDescent="0.35">
      <c r="A24" s="7" t="s">
        <v>792</v>
      </c>
      <c r="B24" s="60" t="s">
        <v>767</v>
      </c>
      <c r="C24" s="60" t="s">
        <v>793</v>
      </c>
      <c r="D24" s="60" t="s">
        <v>794</v>
      </c>
      <c r="E24" s="60" t="s">
        <v>48</v>
      </c>
      <c r="F24" s="60" t="s">
        <v>230</v>
      </c>
      <c r="G24" s="60">
        <v>4</v>
      </c>
      <c r="H24" s="12">
        <v>46328</v>
      </c>
      <c r="I24" s="60">
        <v>6</v>
      </c>
      <c r="J24" s="60">
        <v>-2</v>
      </c>
      <c r="K24" s="12">
        <v>46286</v>
      </c>
      <c r="L24" s="60" t="s">
        <v>712</v>
      </c>
      <c r="M24" s="60" t="s">
        <v>713</v>
      </c>
      <c r="N24" s="60" t="s">
        <v>795</v>
      </c>
      <c r="O24" s="60" t="s">
        <v>106</v>
      </c>
      <c r="P24" s="8" t="s">
        <v>16</v>
      </c>
    </row>
    <row r="25" spans="1:16" ht="29" customHeight="1" x14ac:dyDescent="0.35">
      <c r="A25" s="7" t="s">
        <v>796</v>
      </c>
      <c r="B25" s="60" t="s">
        <v>767</v>
      </c>
      <c r="C25" s="60" t="s">
        <v>797</v>
      </c>
      <c r="D25" s="60" t="s">
        <v>176</v>
      </c>
      <c r="E25" s="60" t="s">
        <v>432</v>
      </c>
      <c r="F25" s="60" t="s">
        <v>433</v>
      </c>
      <c r="G25" s="60">
        <v>22</v>
      </c>
      <c r="H25" s="12">
        <v>46454</v>
      </c>
      <c r="I25" s="60">
        <v>8</v>
      </c>
      <c r="J25" s="60">
        <v>14</v>
      </c>
      <c r="K25" s="12">
        <v>46398</v>
      </c>
      <c r="L25" s="60"/>
      <c r="M25" s="60" t="s">
        <v>713</v>
      </c>
      <c r="N25" s="60" t="s">
        <v>798</v>
      </c>
      <c r="O25" s="60" t="s">
        <v>106</v>
      </c>
      <c r="P25" s="8" t="s">
        <v>9</v>
      </c>
    </row>
    <row r="26" spans="1:16" ht="29" customHeight="1" x14ac:dyDescent="0.35">
      <c r="A26" s="7" t="s">
        <v>799</v>
      </c>
      <c r="B26" s="60" t="s">
        <v>767</v>
      </c>
      <c r="C26" s="60" t="s">
        <v>800</v>
      </c>
      <c r="D26" s="60" t="s">
        <v>54</v>
      </c>
      <c r="E26" s="60" t="s">
        <v>317</v>
      </c>
      <c r="F26" s="60" t="s">
        <v>318</v>
      </c>
      <c r="G26" s="60">
        <v>10</v>
      </c>
      <c r="H26" s="12">
        <v>46370</v>
      </c>
      <c r="I26" s="60">
        <v>0</v>
      </c>
      <c r="J26" s="60">
        <v>10</v>
      </c>
      <c r="K26" s="12">
        <v>46370</v>
      </c>
      <c r="L26" s="60"/>
      <c r="M26" s="60" t="s">
        <v>728</v>
      </c>
      <c r="N26" s="60" t="s">
        <v>801</v>
      </c>
      <c r="O26" s="60" t="s">
        <v>106</v>
      </c>
      <c r="P26" s="8" t="s">
        <v>9</v>
      </c>
    </row>
    <row r="27" spans="1:16" ht="29" customHeight="1" x14ac:dyDescent="0.35">
      <c r="A27" s="7" t="s">
        <v>802</v>
      </c>
      <c r="B27" s="60" t="s">
        <v>803</v>
      </c>
      <c r="C27" s="60" t="s">
        <v>804</v>
      </c>
      <c r="D27" s="60" t="s">
        <v>805</v>
      </c>
      <c r="E27" s="60" t="s">
        <v>317</v>
      </c>
      <c r="F27" s="60" t="s">
        <v>318</v>
      </c>
      <c r="G27" s="60">
        <v>10</v>
      </c>
      <c r="H27" s="12">
        <v>46370</v>
      </c>
      <c r="I27" s="60">
        <v>6</v>
      </c>
      <c r="J27" s="60">
        <v>4</v>
      </c>
      <c r="K27" s="12">
        <v>46328</v>
      </c>
      <c r="L27" s="60" t="s">
        <v>718</v>
      </c>
      <c r="M27" s="60" t="s">
        <v>713</v>
      </c>
      <c r="N27" s="60" t="s">
        <v>806</v>
      </c>
      <c r="O27" s="60" t="s">
        <v>106</v>
      </c>
      <c r="P27" s="8" t="s">
        <v>16</v>
      </c>
    </row>
    <row r="28" spans="1:16" ht="29" customHeight="1" x14ac:dyDescent="0.35">
      <c r="A28" s="7" t="s">
        <v>807</v>
      </c>
      <c r="B28" s="60" t="s">
        <v>803</v>
      </c>
      <c r="C28" s="60" t="s">
        <v>808</v>
      </c>
      <c r="D28" s="60" t="s">
        <v>809</v>
      </c>
      <c r="E28" s="60" t="s">
        <v>266</v>
      </c>
      <c r="F28" s="60" t="s">
        <v>267</v>
      </c>
      <c r="G28" s="60">
        <v>6</v>
      </c>
      <c r="H28" s="12">
        <v>46342</v>
      </c>
      <c r="I28" s="60">
        <v>8</v>
      </c>
      <c r="J28" s="60">
        <v>-2</v>
      </c>
      <c r="K28" s="12">
        <v>46286</v>
      </c>
      <c r="L28" s="60" t="s">
        <v>712</v>
      </c>
      <c r="M28" s="60" t="s">
        <v>713</v>
      </c>
      <c r="N28" s="60" t="s">
        <v>810</v>
      </c>
      <c r="O28" s="60" t="s">
        <v>106</v>
      </c>
      <c r="P28" s="8" t="s">
        <v>587</v>
      </c>
    </row>
    <row r="29" spans="1:16" ht="29" customHeight="1" x14ac:dyDescent="0.35">
      <c r="A29" s="7" t="s">
        <v>811</v>
      </c>
      <c r="B29" s="60" t="s">
        <v>803</v>
      </c>
      <c r="C29" s="60" t="s">
        <v>812</v>
      </c>
      <c r="D29" s="60" t="s">
        <v>805</v>
      </c>
      <c r="E29" s="60" t="s">
        <v>190</v>
      </c>
      <c r="F29" s="60" t="s">
        <v>191</v>
      </c>
      <c r="G29" s="60">
        <v>1</v>
      </c>
      <c r="H29" s="12">
        <v>46307</v>
      </c>
      <c r="I29" s="60">
        <v>2</v>
      </c>
      <c r="J29" s="60">
        <v>-1</v>
      </c>
      <c r="K29" s="12">
        <v>46293</v>
      </c>
      <c r="L29" s="60" t="s">
        <v>712</v>
      </c>
      <c r="M29" s="60" t="s">
        <v>713</v>
      </c>
      <c r="N29" s="60" t="s">
        <v>813</v>
      </c>
      <c r="O29" s="60" t="s">
        <v>106</v>
      </c>
      <c r="P29" s="8" t="s">
        <v>9</v>
      </c>
    </row>
    <row r="30" spans="1:16" ht="29" customHeight="1" x14ac:dyDescent="0.35">
      <c r="A30" s="7" t="s">
        <v>814</v>
      </c>
      <c r="B30" s="60" t="s">
        <v>803</v>
      </c>
      <c r="C30" s="60" t="s">
        <v>815</v>
      </c>
      <c r="D30" s="60" t="s">
        <v>816</v>
      </c>
      <c r="E30" s="60" t="s">
        <v>443</v>
      </c>
      <c r="F30" s="60" t="s">
        <v>444</v>
      </c>
      <c r="G30" s="60">
        <v>23</v>
      </c>
      <c r="H30" s="12">
        <v>46461</v>
      </c>
      <c r="I30" s="60">
        <v>16</v>
      </c>
      <c r="J30" s="60">
        <v>7</v>
      </c>
      <c r="K30" s="12">
        <v>46349</v>
      </c>
      <c r="L30" s="60"/>
      <c r="M30" s="60" t="s">
        <v>713</v>
      </c>
      <c r="N30" s="60" t="s">
        <v>817</v>
      </c>
      <c r="O30" s="60" t="s">
        <v>106</v>
      </c>
      <c r="P30" s="8" t="s">
        <v>587</v>
      </c>
    </row>
    <row r="31" spans="1:16" x14ac:dyDescent="0.35">
      <c r="A31" s="7" t="s">
        <v>818</v>
      </c>
      <c r="B31" s="60" t="s">
        <v>803</v>
      </c>
      <c r="C31" s="60" t="s">
        <v>819</v>
      </c>
      <c r="D31" s="60" t="s">
        <v>678</v>
      </c>
      <c r="E31" s="60" t="s">
        <v>343</v>
      </c>
      <c r="F31" s="60" t="s">
        <v>344</v>
      </c>
      <c r="G31" s="60">
        <v>7</v>
      </c>
      <c r="H31" s="12">
        <v>46349</v>
      </c>
      <c r="I31" s="60">
        <v>4</v>
      </c>
      <c r="J31" s="60">
        <v>3</v>
      </c>
      <c r="K31" s="12">
        <v>46321</v>
      </c>
      <c r="L31" s="60" t="s">
        <v>718</v>
      </c>
      <c r="M31" s="60" t="s">
        <v>521</v>
      </c>
      <c r="N31" s="60" t="s">
        <v>820</v>
      </c>
      <c r="O31" s="60" t="s">
        <v>106</v>
      </c>
      <c r="P31" s="8" t="s">
        <v>16</v>
      </c>
    </row>
    <row r="32" spans="1:16" x14ac:dyDescent="0.35">
      <c r="A32" s="9" t="s">
        <v>821</v>
      </c>
      <c r="B32" s="10" t="s">
        <v>803</v>
      </c>
      <c r="C32" s="10" t="s">
        <v>822</v>
      </c>
      <c r="D32" s="10" t="s">
        <v>823</v>
      </c>
      <c r="E32" s="10" t="s">
        <v>409</v>
      </c>
      <c r="F32" s="10" t="s">
        <v>410</v>
      </c>
      <c r="G32" s="10">
        <v>19</v>
      </c>
      <c r="H32" s="27">
        <v>46433</v>
      </c>
      <c r="I32" s="10">
        <v>6</v>
      </c>
      <c r="J32" s="10">
        <v>13</v>
      </c>
      <c r="K32" s="27">
        <v>46391</v>
      </c>
      <c r="L32" s="10"/>
      <c r="M32" s="10" t="s">
        <v>547</v>
      </c>
      <c r="N32" s="10" t="s">
        <v>824</v>
      </c>
      <c r="O32" s="10" t="s">
        <v>106</v>
      </c>
      <c r="P32" s="11" t="s">
        <v>16</v>
      </c>
    </row>
  </sheetData>
  <mergeCells count="1">
    <mergeCell ref="A1:P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8"/>
  <sheetViews>
    <sheetView showGridLines="0" workbookViewId="0">
      <pane ySplit="3" topLeftCell="A4" activePane="bottomLeft" state="frozen"/>
      <selection pane="bottomLeft" activeCell="N5" sqref="N5"/>
    </sheetView>
  </sheetViews>
  <sheetFormatPr defaultRowHeight="14.5" x14ac:dyDescent="0.35"/>
  <cols>
    <col min="1" max="1" width="10" style="59" customWidth="1"/>
    <col min="2" max="2" width="15" style="59" customWidth="1"/>
    <col min="3" max="3" width="55" style="59" customWidth="1"/>
    <col min="4" max="4" width="45" style="59" customWidth="1"/>
    <col min="5" max="5" width="22" style="59" customWidth="1"/>
    <col min="6" max="7" width="10" style="59" customWidth="1"/>
    <col min="8" max="8" width="65" style="59" customWidth="1"/>
    <col min="9" max="9" width="55" style="59" customWidth="1"/>
    <col min="10" max="10" width="40" style="59" customWidth="1"/>
    <col min="11" max="11" width="22" style="59" customWidth="1"/>
    <col min="12" max="12" width="12" style="59" customWidth="1"/>
    <col min="13" max="13" width="14" style="59" customWidth="1"/>
    <col min="14" max="14" width="42" style="59" customWidth="1"/>
    <col min="15" max="15" width="16" style="59" customWidth="1"/>
  </cols>
  <sheetData>
    <row r="1" spans="1:15" ht="30" customHeight="1" x14ac:dyDescent="0.35">
      <c r="A1" s="68" t="s">
        <v>825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70"/>
      <c r="O1" s="60"/>
    </row>
    <row r="2" spans="1:15" x14ac:dyDescent="0.3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5" x14ac:dyDescent="0.35">
      <c r="A3" s="2" t="s">
        <v>694</v>
      </c>
      <c r="B3" s="2" t="s">
        <v>695</v>
      </c>
      <c r="C3" s="2" t="s">
        <v>826</v>
      </c>
      <c r="D3" s="2" t="s">
        <v>827</v>
      </c>
      <c r="E3" s="2" t="s">
        <v>828</v>
      </c>
      <c r="F3" s="2" t="s">
        <v>829</v>
      </c>
      <c r="G3" s="2" t="s">
        <v>93</v>
      </c>
      <c r="H3" s="2" t="s">
        <v>830</v>
      </c>
      <c r="I3" s="2" t="s">
        <v>831</v>
      </c>
      <c r="J3" s="2" t="s">
        <v>832</v>
      </c>
      <c r="K3" s="2" t="s">
        <v>77</v>
      </c>
      <c r="L3" s="2" t="s">
        <v>833</v>
      </c>
      <c r="M3" s="2" t="s">
        <v>834</v>
      </c>
      <c r="N3" s="2" t="s">
        <v>835</v>
      </c>
      <c r="O3" s="36" t="s">
        <v>89</v>
      </c>
    </row>
    <row r="4" spans="1:15" ht="72.5" customHeight="1" x14ac:dyDescent="0.35">
      <c r="A4" s="60" t="s">
        <v>836</v>
      </c>
      <c r="B4" s="60" t="s">
        <v>837</v>
      </c>
      <c r="C4" s="60" t="s">
        <v>838</v>
      </c>
      <c r="D4" s="60" t="s">
        <v>839</v>
      </c>
      <c r="E4" s="60" t="s">
        <v>840</v>
      </c>
      <c r="F4" s="60">
        <v>16</v>
      </c>
      <c r="G4" s="60" t="s">
        <v>587</v>
      </c>
      <c r="H4" s="60" t="s">
        <v>841</v>
      </c>
      <c r="I4" s="60" t="s">
        <v>842</v>
      </c>
      <c r="J4" s="60" t="s">
        <v>843</v>
      </c>
      <c r="K4" s="60" t="s">
        <v>103</v>
      </c>
      <c r="L4" s="60">
        <v>4</v>
      </c>
      <c r="M4" s="60" t="s">
        <v>9</v>
      </c>
      <c r="N4" s="60" t="s">
        <v>844</v>
      </c>
      <c r="O4" s="60" t="s">
        <v>845</v>
      </c>
    </row>
    <row r="5" spans="1:15" ht="72.5" customHeight="1" x14ac:dyDescent="0.35">
      <c r="A5" s="60" t="s">
        <v>846</v>
      </c>
      <c r="B5" s="60" t="s">
        <v>847</v>
      </c>
      <c r="C5" s="60" t="s">
        <v>848</v>
      </c>
      <c r="D5" s="60" t="s">
        <v>849</v>
      </c>
      <c r="E5" s="60" t="s">
        <v>850</v>
      </c>
      <c r="F5" s="60">
        <v>16</v>
      </c>
      <c r="G5" s="60" t="s">
        <v>587</v>
      </c>
      <c r="H5" s="60" t="s">
        <v>851</v>
      </c>
      <c r="I5" s="60" t="s">
        <v>852</v>
      </c>
      <c r="J5" s="60" t="s">
        <v>853</v>
      </c>
      <c r="K5" s="60" t="s">
        <v>183</v>
      </c>
      <c r="L5" s="60">
        <v>2</v>
      </c>
      <c r="M5" s="60" t="s">
        <v>16</v>
      </c>
      <c r="N5" s="60" t="s">
        <v>844</v>
      </c>
      <c r="O5" s="60" t="s">
        <v>845</v>
      </c>
    </row>
    <row r="6" spans="1:15" ht="72.5" customHeight="1" x14ac:dyDescent="0.35">
      <c r="A6" s="60" t="s">
        <v>854</v>
      </c>
      <c r="B6" s="60" t="s">
        <v>855</v>
      </c>
      <c r="C6" s="60" t="s">
        <v>856</v>
      </c>
      <c r="D6" s="60" t="s">
        <v>857</v>
      </c>
      <c r="E6" s="60" t="s">
        <v>858</v>
      </c>
      <c r="F6" s="60">
        <v>16</v>
      </c>
      <c r="G6" s="60" t="s">
        <v>587</v>
      </c>
      <c r="H6" s="60" t="s">
        <v>859</v>
      </c>
      <c r="I6" s="60" t="s">
        <v>860</v>
      </c>
      <c r="J6" s="60" t="s">
        <v>861</v>
      </c>
      <c r="K6" s="60" t="s">
        <v>103</v>
      </c>
      <c r="L6" s="60">
        <v>3</v>
      </c>
      <c r="M6" s="60" t="s">
        <v>16</v>
      </c>
      <c r="N6" s="60" t="s">
        <v>844</v>
      </c>
      <c r="O6" s="60" t="s">
        <v>845</v>
      </c>
    </row>
    <row r="7" spans="1:15" ht="72.5" customHeight="1" x14ac:dyDescent="0.35">
      <c r="A7" s="60" t="s">
        <v>862</v>
      </c>
      <c r="B7" s="60" t="s">
        <v>709</v>
      </c>
      <c r="C7" s="60" t="s">
        <v>863</v>
      </c>
      <c r="D7" s="60" t="s">
        <v>864</v>
      </c>
      <c r="E7" s="60" t="s">
        <v>521</v>
      </c>
      <c r="F7" s="60">
        <v>16</v>
      </c>
      <c r="G7" s="60" t="s">
        <v>587</v>
      </c>
      <c r="H7" s="60" t="s">
        <v>865</v>
      </c>
      <c r="I7" s="60" t="s">
        <v>866</v>
      </c>
      <c r="J7" s="60" t="s">
        <v>867</v>
      </c>
      <c r="K7" s="60" t="s">
        <v>868</v>
      </c>
      <c r="L7" s="60">
        <v>3</v>
      </c>
      <c r="M7" s="60" t="s">
        <v>16</v>
      </c>
      <c r="N7" s="60" t="s">
        <v>844</v>
      </c>
      <c r="O7" s="60" t="s">
        <v>845</v>
      </c>
    </row>
    <row r="8" spans="1:15" ht="72.5" customHeight="1" x14ac:dyDescent="0.35">
      <c r="A8" s="60" t="s">
        <v>869</v>
      </c>
      <c r="B8" s="60" t="s">
        <v>709</v>
      </c>
      <c r="C8" s="60" t="s">
        <v>870</v>
      </c>
      <c r="D8" s="60" t="s">
        <v>871</v>
      </c>
      <c r="E8" s="60" t="s">
        <v>872</v>
      </c>
      <c r="F8" s="60">
        <v>16</v>
      </c>
      <c r="G8" s="60" t="s">
        <v>587</v>
      </c>
      <c r="H8" s="60" t="s">
        <v>873</v>
      </c>
      <c r="I8" s="60" t="s">
        <v>874</v>
      </c>
      <c r="J8" s="60" t="s">
        <v>875</v>
      </c>
      <c r="K8" s="60" t="s">
        <v>876</v>
      </c>
      <c r="L8" s="60">
        <v>3</v>
      </c>
      <c r="M8" s="60" t="s">
        <v>16</v>
      </c>
      <c r="N8" s="60" t="s">
        <v>844</v>
      </c>
      <c r="O8" s="60" t="s">
        <v>845</v>
      </c>
    </row>
    <row r="9" spans="1:15" ht="72.5" customHeight="1" x14ac:dyDescent="0.35">
      <c r="A9" s="60" t="s">
        <v>877</v>
      </c>
      <c r="B9" s="60" t="s">
        <v>878</v>
      </c>
      <c r="C9" s="60" t="s">
        <v>879</v>
      </c>
      <c r="D9" s="60" t="s">
        <v>880</v>
      </c>
      <c r="E9" s="60" t="s">
        <v>744</v>
      </c>
      <c r="F9" s="60">
        <v>15</v>
      </c>
      <c r="G9" s="60" t="s">
        <v>587</v>
      </c>
      <c r="H9" s="60" t="s">
        <v>881</v>
      </c>
      <c r="I9" s="60" t="s">
        <v>882</v>
      </c>
      <c r="J9" s="60" t="s">
        <v>883</v>
      </c>
      <c r="K9" s="60" t="s">
        <v>158</v>
      </c>
      <c r="L9" s="60">
        <v>4</v>
      </c>
      <c r="M9" s="60" t="s">
        <v>9</v>
      </c>
      <c r="N9" s="60" t="s">
        <v>844</v>
      </c>
      <c r="O9" s="60" t="s">
        <v>845</v>
      </c>
    </row>
    <row r="10" spans="1:15" ht="72.5" customHeight="1" x14ac:dyDescent="0.35">
      <c r="A10" s="60" t="s">
        <v>884</v>
      </c>
      <c r="B10" s="60" t="s">
        <v>885</v>
      </c>
      <c r="C10" s="60" t="s">
        <v>886</v>
      </c>
      <c r="D10" s="60" t="s">
        <v>887</v>
      </c>
      <c r="E10" s="60" t="s">
        <v>888</v>
      </c>
      <c r="F10" s="60">
        <v>15</v>
      </c>
      <c r="G10" s="60" t="s">
        <v>587</v>
      </c>
      <c r="H10" s="60" t="s">
        <v>889</v>
      </c>
      <c r="I10" s="60" t="s">
        <v>890</v>
      </c>
      <c r="J10" s="60" t="s">
        <v>891</v>
      </c>
      <c r="K10" s="60" t="s">
        <v>637</v>
      </c>
      <c r="L10" s="60">
        <v>4</v>
      </c>
      <c r="M10" s="60" t="s">
        <v>16</v>
      </c>
      <c r="N10" s="60" t="s">
        <v>844</v>
      </c>
      <c r="O10" s="60" t="s">
        <v>845</v>
      </c>
    </row>
    <row r="11" spans="1:15" ht="72.5" customHeight="1" x14ac:dyDescent="0.35">
      <c r="A11" s="60" t="s">
        <v>892</v>
      </c>
      <c r="B11" s="60" t="s">
        <v>709</v>
      </c>
      <c r="C11" s="60" t="s">
        <v>893</v>
      </c>
      <c r="D11" s="60" t="s">
        <v>894</v>
      </c>
      <c r="E11" s="60" t="s">
        <v>895</v>
      </c>
      <c r="F11" s="60">
        <v>15</v>
      </c>
      <c r="G11" s="60" t="s">
        <v>587</v>
      </c>
      <c r="H11" s="60" t="s">
        <v>896</v>
      </c>
      <c r="I11" s="60" t="s">
        <v>897</v>
      </c>
      <c r="J11" s="60" t="s">
        <v>898</v>
      </c>
      <c r="K11" s="60" t="s">
        <v>899</v>
      </c>
      <c r="L11" s="60">
        <v>3</v>
      </c>
      <c r="M11" s="60" t="s">
        <v>16</v>
      </c>
      <c r="N11" s="60" t="s">
        <v>844</v>
      </c>
      <c r="O11" s="60" t="s">
        <v>845</v>
      </c>
    </row>
    <row r="12" spans="1:15" ht="72.5" customHeight="1" x14ac:dyDescent="0.35">
      <c r="A12" s="60" t="s">
        <v>900</v>
      </c>
      <c r="B12" s="60" t="s">
        <v>709</v>
      </c>
      <c r="C12" s="60" t="s">
        <v>901</v>
      </c>
      <c r="D12" s="60" t="s">
        <v>902</v>
      </c>
      <c r="E12" s="60" t="s">
        <v>903</v>
      </c>
      <c r="F12" s="60">
        <v>12</v>
      </c>
      <c r="G12" s="60" t="s">
        <v>16</v>
      </c>
      <c r="H12" s="60" t="s">
        <v>904</v>
      </c>
      <c r="I12" s="60" t="s">
        <v>905</v>
      </c>
      <c r="J12" s="60" t="s">
        <v>906</v>
      </c>
      <c r="K12" s="60" t="s">
        <v>907</v>
      </c>
      <c r="L12" s="60">
        <v>5</v>
      </c>
      <c r="M12" s="60" t="s">
        <v>9</v>
      </c>
      <c r="N12" s="60" t="s">
        <v>844</v>
      </c>
      <c r="O12" s="60" t="s">
        <v>845</v>
      </c>
    </row>
    <row r="13" spans="1:15" ht="72.5" customHeight="1" x14ac:dyDescent="0.35">
      <c r="A13" s="60" t="s">
        <v>908</v>
      </c>
      <c r="B13" s="60" t="s">
        <v>709</v>
      </c>
      <c r="C13" s="60" t="s">
        <v>909</v>
      </c>
      <c r="D13" s="60" t="s">
        <v>910</v>
      </c>
      <c r="E13" s="60" t="s">
        <v>911</v>
      </c>
      <c r="F13" s="60">
        <v>12</v>
      </c>
      <c r="G13" s="60" t="s">
        <v>16</v>
      </c>
      <c r="H13" s="60" t="s">
        <v>912</v>
      </c>
      <c r="I13" s="60" t="s">
        <v>913</v>
      </c>
      <c r="J13" s="60" t="s">
        <v>914</v>
      </c>
      <c r="K13" s="60" t="s">
        <v>158</v>
      </c>
      <c r="L13" s="60">
        <v>3</v>
      </c>
      <c r="M13" s="60" t="s">
        <v>9</v>
      </c>
      <c r="N13" s="60" t="s">
        <v>844</v>
      </c>
      <c r="O13" s="60" t="s">
        <v>845</v>
      </c>
    </row>
    <row r="14" spans="1:15" ht="72.5" customHeight="1" x14ac:dyDescent="0.35">
      <c r="A14" s="60" t="s">
        <v>915</v>
      </c>
      <c r="B14" s="60" t="s">
        <v>194</v>
      </c>
      <c r="C14" s="60" t="s">
        <v>916</v>
      </c>
      <c r="D14" s="60" t="s">
        <v>917</v>
      </c>
      <c r="E14" s="60" t="s">
        <v>918</v>
      </c>
      <c r="F14" s="60">
        <v>12</v>
      </c>
      <c r="G14" s="60" t="s">
        <v>16</v>
      </c>
      <c r="H14" s="60" t="s">
        <v>919</v>
      </c>
      <c r="I14" s="60" t="s">
        <v>920</v>
      </c>
      <c r="J14" s="60" t="s">
        <v>921</v>
      </c>
      <c r="K14" s="60" t="s">
        <v>205</v>
      </c>
      <c r="L14" s="60">
        <v>4</v>
      </c>
      <c r="M14" s="60" t="s">
        <v>9</v>
      </c>
      <c r="N14" s="60" t="s">
        <v>844</v>
      </c>
      <c r="O14" s="60" t="s">
        <v>845</v>
      </c>
    </row>
    <row r="15" spans="1:15" ht="72.5" customHeight="1" x14ac:dyDescent="0.35">
      <c r="A15" s="60" t="s">
        <v>922</v>
      </c>
      <c r="B15" s="60" t="s">
        <v>837</v>
      </c>
      <c r="C15" s="60" t="s">
        <v>923</v>
      </c>
      <c r="D15" s="60" t="s">
        <v>924</v>
      </c>
      <c r="E15" s="60" t="s">
        <v>925</v>
      </c>
      <c r="F15" s="60">
        <v>12</v>
      </c>
      <c r="G15" s="60" t="s">
        <v>16</v>
      </c>
      <c r="H15" s="60" t="s">
        <v>926</v>
      </c>
      <c r="I15" s="60" t="s">
        <v>927</v>
      </c>
      <c r="J15" s="60" t="s">
        <v>928</v>
      </c>
      <c r="K15" s="60" t="s">
        <v>135</v>
      </c>
      <c r="L15" s="60">
        <v>1</v>
      </c>
      <c r="M15" s="60" t="s">
        <v>9</v>
      </c>
      <c r="N15" s="60" t="s">
        <v>844</v>
      </c>
      <c r="O15" s="60" t="s">
        <v>845</v>
      </c>
    </row>
    <row r="16" spans="1:15" ht="72.5" customHeight="1" x14ac:dyDescent="0.35">
      <c r="A16" s="60" t="s">
        <v>929</v>
      </c>
      <c r="B16" s="60" t="s">
        <v>837</v>
      </c>
      <c r="C16" s="60" t="s">
        <v>930</v>
      </c>
      <c r="D16" s="60" t="s">
        <v>931</v>
      </c>
      <c r="E16" s="60" t="s">
        <v>932</v>
      </c>
      <c r="F16" s="60">
        <v>12</v>
      </c>
      <c r="G16" s="60" t="s">
        <v>16</v>
      </c>
      <c r="H16" s="60" t="s">
        <v>933</v>
      </c>
      <c r="I16" s="60" t="s">
        <v>934</v>
      </c>
      <c r="J16" s="60" t="s">
        <v>935</v>
      </c>
      <c r="K16" s="60" t="s">
        <v>103</v>
      </c>
      <c r="L16" s="60">
        <v>3</v>
      </c>
      <c r="M16" s="60" t="s">
        <v>16</v>
      </c>
      <c r="N16" s="60" t="s">
        <v>844</v>
      </c>
      <c r="O16" s="60" t="s">
        <v>845</v>
      </c>
    </row>
    <row r="17" spans="1:15" ht="72.5" customHeight="1" x14ac:dyDescent="0.35">
      <c r="A17" s="60" t="s">
        <v>936</v>
      </c>
      <c r="B17" s="60" t="s">
        <v>937</v>
      </c>
      <c r="C17" s="60" t="s">
        <v>938</v>
      </c>
      <c r="D17" s="60" t="s">
        <v>939</v>
      </c>
      <c r="E17" s="60" t="s">
        <v>940</v>
      </c>
      <c r="F17" s="60">
        <v>12</v>
      </c>
      <c r="G17" s="60" t="s">
        <v>16</v>
      </c>
      <c r="H17" s="60" t="s">
        <v>941</v>
      </c>
      <c r="I17" s="60" t="s">
        <v>942</v>
      </c>
      <c r="J17" s="60" t="s">
        <v>943</v>
      </c>
      <c r="K17" s="60" t="s">
        <v>944</v>
      </c>
      <c r="L17" s="60">
        <v>2</v>
      </c>
      <c r="M17" s="60" t="s">
        <v>16</v>
      </c>
      <c r="N17" s="60" t="s">
        <v>844</v>
      </c>
      <c r="O17" s="60" t="s">
        <v>845</v>
      </c>
    </row>
    <row r="18" spans="1:15" ht="72.5" customHeight="1" x14ac:dyDescent="0.35">
      <c r="A18" s="60" t="s">
        <v>945</v>
      </c>
      <c r="B18" s="60" t="s">
        <v>946</v>
      </c>
      <c r="C18" s="60" t="s">
        <v>947</v>
      </c>
      <c r="D18" s="60" t="s">
        <v>948</v>
      </c>
      <c r="E18" s="60" t="s">
        <v>949</v>
      </c>
      <c r="F18" s="60">
        <v>12</v>
      </c>
      <c r="G18" s="60" t="s">
        <v>16</v>
      </c>
      <c r="H18" s="60" t="s">
        <v>950</v>
      </c>
      <c r="I18" s="60" t="s">
        <v>951</v>
      </c>
      <c r="J18" s="60" t="s">
        <v>952</v>
      </c>
      <c r="K18" s="60" t="s">
        <v>122</v>
      </c>
      <c r="L18" s="60">
        <v>2</v>
      </c>
      <c r="M18" s="60" t="s">
        <v>9</v>
      </c>
      <c r="N18" s="60" t="s">
        <v>844</v>
      </c>
      <c r="O18" s="60" t="s">
        <v>845</v>
      </c>
    </row>
  </sheetData>
  <mergeCells count="1">
    <mergeCell ref="A1:N1"/>
  </mergeCells>
  <dataValidations count="1">
    <dataValidation type="list" sqref="O4:O18" xr:uid="{00000000-0002-0000-0700-000000000000}">
      <formula1>"Open,Monitoring,Mitigated,Closed"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Dashboard</vt:lpstr>
      <vt:lpstr>Executive Roadmap</vt:lpstr>
      <vt:lpstr>Detailed Monthly Tracker</vt:lpstr>
      <vt:lpstr>Application Tracker</vt:lpstr>
      <vt:lpstr>Gate Readiness</vt:lpstr>
      <vt:lpstr>Gate Criteria Checklist</vt:lpstr>
      <vt:lpstr>Critical Dependencies</vt:lpstr>
      <vt:lpstr>RAID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Rama Chirumamilla</cp:lastModifiedBy>
  <dcterms:created xsi:type="dcterms:W3CDTF">2026-10-07T11:02:18Z</dcterms:created>
  <dcterms:modified xsi:type="dcterms:W3CDTF">2026-10-07T11:10:45Z</dcterms:modified>
</cp:coreProperties>
</file>