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chiruma\Downloads\"/>
    </mc:Choice>
  </mc:AlternateContent>
  <xr:revisionPtr revIDLastSave="0" documentId="13_ncr:1_{EED773FE-5C75-46C5-95D7-BB1D43AD94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ecutive Dashboard" sheetId="1" r:id="rId1"/>
    <sheet name="Executive Roadmap" sheetId="2" r:id="rId2"/>
    <sheet name="Detailed Program Tracker" sheetId="3" r:id="rId3"/>
    <sheet name="Capability Tracker" sheetId="4" r:id="rId4"/>
    <sheet name="Gate Readiness" sheetId="5" r:id="rId5"/>
    <sheet name="Gate Criteria Checklist" sheetId="6" r:id="rId6"/>
    <sheet name="Critical Dependencies" sheetId="7" r:id="rId7"/>
    <sheet name="RAID Register" sheetId="8" r:id="rId8"/>
    <sheet name="KPI Scorecard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H9" i="5" s="1"/>
  <c r="E9" i="5"/>
  <c r="F8" i="5"/>
  <c r="H8" i="5" s="1"/>
  <c r="E8" i="5"/>
  <c r="G8" i="5" s="1"/>
  <c r="F7" i="5"/>
  <c r="H7" i="5" s="1"/>
  <c r="E7" i="5"/>
  <c r="F6" i="5"/>
  <c r="H6" i="5" s="1"/>
  <c r="E6" i="5"/>
  <c r="F5" i="5"/>
  <c r="H5" i="5" s="1"/>
  <c r="E5" i="5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B20" i="1"/>
  <c r="B19" i="1"/>
  <c r="B18" i="1"/>
  <c r="B17" i="1"/>
  <c r="B16" i="1"/>
  <c r="G6" i="5" l="1"/>
  <c r="G5" i="5"/>
  <c r="G7" i="5"/>
  <c r="G9" i="5"/>
</calcChain>
</file>

<file path=xl/sharedStrings.xml><?xml version="1.0" encoding="utf-8"?>
<sst xmlns="http://schemas.openxmlformats.org/spreadsheetml/2006/main" count="1440" uniqueCount="631">
  <si>
    <t>AI-Assisted Incident Management - Executive Dashboard</t>
  </si>
  <si>
    <t>AI Incident Triage &amp; Response Coordinator | 16-week implementation plan</t>
  </si>
  <si>
    <t>Program KPI</t>
  </si>
  <si>
    <t>Baseline</t>
  </si>
  <si>
    <t>Target</t>
  </si>
  <si>
    <t>Phase</t>
  </si>
  <si>
    <t>Weeks</t>
  </si>
  <si>
    <t>Primary Outcome</t>
  </si>
  <si>
    <t>Planned Status</t>
  </si>
  <si>
    <t>MTTR</t>
  </si>
  <si>
    <t>120 min</t>
  </si>
  <si>
    <t>84 min</t>
  </si>
  <si>
    <t>Discovery &amp; Design</t>
  </si>
  <si>
    <t>W1-W2</t>
  </si>
  <si>
    <t>Requirements, architecture, integrations, governance, success metrics</t>
  </si>
  <si>
    <t>Planned</t>
  </si>
  <si>
    <t>Ownership Identification</t>
  </si>
  <si>
    <t>20 min</t>
  </si>
  <si>
    <t>&lt; 5 min</t>
  </si>
  <si>
    <t>Prototype Development</t>
  </si>
  <si>
    <t>W3-W5</t>
  </si>
  <si>
    <t>MVP: incident summary, ownership recommendation, runbook search</t>
  </si>
  <si>
    <t>Context Gathering</t>
  </si>
  <si>
    <t>30 min</t>
  </si>
  <si>
    <t>&lt; 3 min</t>
  </si>
  <si>
    <t>Sev-2 Pilot</t>
  </si>
  <si>
    <t>W6-W8</t>
  </si>
  <si>
    <t>Controlled pilot, accuracy and trust validation, MTTR measurement</t>
  </si>
  <si>
    <t>Executive Updates</t>
  </si>
  <si>
    <t>15 min</t>
  </si>
  <si>
    <t>&lt; 2 min</t>
  </si>
  <si>
    <t>Production Rollout</t>
  </si>
  <si>
    <t>W9-W12</t>
  </si>
  <si>
    <t>Sev-1 and Sev-2 rollout, training, support and controls</t>
  </si>
  <si>
    <t>RCA Creation</t>
  </si>
  <si>
    <t>4 hrs</t>
  </si>
  <si>
    <t>&lt; 30 min</t>
  </si>
  <si>
    <t>Optimization</t>
  </si>
  <si>
    <t>W13-W16</t>
  </si>
  <si>
    <t>RCA drafting, timeline scribing, analytics and executive dashboard</t>
  </si>
  <si>
    <t>Escalation Accuracy</t>
  </si>
  <si>
    <t>70%</t>
  </si>
  <si>
    <t>&gt; 90%</t>
  </si>
  <si>
    <t>Runbook Utilization</t>
  </si>
  <si>
    <t>40%</t>
  </si>
  <si>
    <t>&gt; 80%</t>
  </si>
  <si>
    <t>Health Measure</t>
  </si>
  <si>
    <t>Current</t>
  </si>
  <si>
    <t>Leadership Control Snapshot</t>
  </si>
  <si>
    <t>Total roadmap records</t>
  </si>
  <si>
    <t>Program Guardrail</t>
  </si>
  <si>
    <t>AI recommends only; humans approve all production actions</t>
  </si>
  <si>
    <t>Critical-path records</t>
  </si>
  <si>
    <t>Pilot Scope</t>
  </si>
  <si>
    <t>Sev-2 incidents in shadow and assisted modes</t>
  </si>
  <si>
    <t>Tasks complete</t>
  </si>
  <si>
    <t>Pilot Exit</t>
  </si>
  <si>
    <t>Recommendation accuracy &gt;= 80% plus positive responder feedback</t>
  </si>
  <si>
    <t>Tasks blocked</t>
  </si>
  <si>
    <t>Security Model</t>
  </si>
  <si>
    <t>Read-only integrations, RBAC and auditable recommendations</t>
  </si>
  <si>
    <t>Open Red risks</t>
  </si>
  <si>
    <t>Production Scope</t>
  </si>
  <si>
    <t>Controlled Sev-1 and Sev-2 enablement after pilot approval</t>
  </si>
  <si>
    <t>Gates ready</t>
  </si>
  <si>
    <t>Success Measure</t>
  </si>
  <si>
    <t>Operational outcomes, not AI usage alone</t>
  </si>
  <si>
    <t>AI-Assisted Incident Management - Executive Roadmap</t>
  </si>
  <si>
    <t>Progressive delivery from discovery through controlled production rollout and optimization</t>
  </si>
  <si>
    <t>Milestone</t>
  </si>
  <si>
    <t>Primary Outcomes</t>
  </si>
  <si>
    <t>Capabilities Introduced</t>
  </si>
  <si>
    <t>Approval Gate</t>
  </si>
  <si>
    <t>Gate Owner</t>
  </si>
  <si>
    <t>Human Control</t>
  </si>
  <si>
    <t>Design Ready</t>
  </si>
  <si>
    <t>Scope, architecture, baselines and controls</t>
  </si>
  <si>
    <t>GATE-DESIGN</t>
  </si>
  <si>
    <t>Steering Committee</t>
  </si>
  <si>
    <t>Human approval required for all production actions</t>
  </si>
  <si>
    <t>MVP Ready for Pilot</t>
  </si>
  <si>
    <t>Summarization, ownership and runbook search</t>
  </si>
  <si>
    <t>GATE-MVP</t>
  </si>
  <si>
    <t>Pilot Success</t>
  </si>
  <si>
    <t>Sev-2 recommendations in shadow/assisted mode</t>
  </si>
  <si>
    <t>GATE-PILOT</t>
  </si>
  <si>
    <t>Production Accepted</t>
  </si>
  <si>
    <t>Sev-1 and Sev-2 production enablement</t>
  </si>
  <si>
    <t>GATE-PROD</t>
  </si>
  <si>
    <t>Executive Sponsor / SRE</t>
  </si>
  <si>
    <t>Program Complete</t>
  </si>
  <si>
    <t>RCA, timeline scribing, analytics and model governance</t>
  </si>
  <si>
    <t>GATE-CLOSE</t>
  </si>
  <si>
    <t>Executive Sponsor</t>
  </si>
  <si>
    <t>Detailed Program Tracker</t>
  </si>
  <si>
    <t>Integrated execution plan. AI provides recommendations only; production actions remain human-approved.</t>
  </si>
  <si>
    <t>Month</t>
  </si>
  <si>
    <t>Task ID</t>
  </si>
  <si>
    <t>Workstream</t>
  </si>
  <si>
    <t>Task / Milestone</t>
  </si>
  <si>
    <t>Owner</t>
  </si>
  <si>
    <t>Type</t>
  </si>
  <si>
    <t>Start Wk</t>
  </si>
  <si>
    <t>Duration</t>
  </si>
  <si>
    <t>End Wk</t>
  </si>
  <si>
    <t>Predecessors</t>
  </si>
  <si>
    <t>Critical Path</t>
  </si>
  <si>
    <t>Status</t>
  </si>
  <si>
    <t>Deliverable / Evidence</t>
  </si>
  <si>
    <t>% Complete</t>
  </si>
  <si>
    <t>RAG</t>
  </si>
  <si>
    <t>Actual Start Wk</t>
  </si>
  <si>
    <t>Forecast Finish Wk</t>
  </si>
  <si>
    <t>Actual Finish Wk</t>
  </si>
  <si>
    <t>Variance (Wks)</t>
  </si>
  <si>
    <t>TPM Notes / Recovery Plan</t>
  </si>
  <si>
    <t>M1</t>
  </si>
  <si>
    <t>Program Governance</t>
  </si>
  <si>
    <t>PM-01</t>
  </si>
  <si>
    <t>Program Management</t>
  </si>
  <si>
    <t>Program kickoff, charter, decision rights and operating cadence</t>
  </si>
  <si>
    <t>TPM</t>
  </si>
  <si>
    <t>Task</t>
  </si>
  <si>
    <t>No</t>
  </si>
  <si>
    <t>Not Started</t>
  </si>
  <si>
    <t>Approved charter and governance calendar</t>
  </si>
  <si>
    <t>Grey</t>
  </si>
  <si>
    <t>PM-02</t>
  </si>
  <si>
    <t>Stand up RAID, dependency, decision and action logs</t>
  </si>
  <si>
    <t>Program controls active</t>
  </si>
  <si>
    <t>M1-M4</t>
  </si>
  <si>
    <t>PM-03</t>
  </si>
  <si>
    <t>Weekly delivery review and bi-weekly steering committee</t>
  </si>
  <si>
    <t>Recurring</t>
  </si>
  <si>
    <t>Status reports and decision log</t>
  </si>
  <si>
    <t>PM-04</t>
  </si>
  <si>
    <t>Monthly KPI and value-realization review</t>
  </si>
  <si>
    <t>TPM / SRE Lead</t>
  </si>
  <si>
    <t>KPI scorecard</t>
  </si>
  <si>
    <t>DD-01</t>
  </si>
  <si>
    <t>Incident Process</t>
  </si>
  <si>
    <t>Review Sev-1 and Sev-2 incident lifecycle and pain points</t>
  </si>
  <si>
    <t>TPM / SRE</t>
  </si>
  <si>
    <t>Yes</t>
  </si>
  <si>
    <t>Current-state process map</t>
  </si>
  <si>
    <t>DD-02</t>
  </si>
  <si>
    <t>Data &amp; Knowledge</t>
  </si>
  <si>
    <t>Analyze historical incidents, RCAs and problem records</t>
  </si>
  <si>
    <t>SRE / Data Analyst</t>
  </si>
  <si>
    <t>Historical incident analysis</t>
  </si>
  <si>
    <t>DD-03</t>
  </si>
  <si>
    <t>Architecture</t>
  </si>
  <si>
    <t>Inventory monitoring, incident, CMDB, change and knowledge integrations</t>
  </si>
  <si>
    <t>AI Architect</t>
  </si>
  <si>
    <t>Integration inventory</t>
  </si>
  <si>
    <t>DD-04</t>
  </si>
  <si>
    <t>Security</t>
  </si>
  <si>
    <t>Define read-only access, RBAC, audit logging and data-handling controls</t>
  </si>
  <si>
    <t>Security Lead</t>
  </si>
  <si>
    <t>Security control design</t>
  </si>
  <si>
    <t>DD-05</t>
  </si>
  <si>
    <t>Product</t>
  </si>
  <si>
    <t>Define personas, use cases, in-scope and out-of-scope boundaries</t>
  </si>
  <si>
    <t>Approved scope</t>
  </si>
  <si>
    <t>DD-06</t>
  </si>
  <si>
    <t>Measurement</t>
  </si>
  <si>
    <t>Baseline MTTR, ownership, context, comms, RCA and runbook metrics</t>
  </si>
  <si>
    <t>SRE / TPM</t>
  </si>
  <si>
    <t>Baseline KPI report</t>
  </si>
  <si>
    <t>DD-07</t>
  </si>
  <si>
    <t>AI Governance</t>
  </si>
  <si>
    <t>Define human-in-the-loop, confidence, evidence and audit requirements</t>
  </si>
  <si>
    <t>Security / SRE</t>
  </si>
  <si>
    <t>Responsible AI controls</t>
  </si>
  <si>
    <t>DD-08</t>
  </si>
  <si>
    <t>Complete target architecture and model/vendor decision</t>
  </si>
  <si>
    <t>DD-03, DD-04</t>
  </si>
  <si>
    <t>Approved architecture</t>
  </si>
  <si>
    <t>DD-09</t>
  </si>
  <si>
    <t>Approve requirements, architecture and success metrics</t>
  </si>
  <si>
    <t>Gate</t>
  </si>
  <si>
    <t>DD-06, DD-07, DD-08</t>
  </si>
  <si>
    <t>Design approval</t>
  </si>
  <si>
    <t>DESIGN READY</t>
  </si>
  <si>
    <t>Authorization to build MVP</t>
  </si>
  <si>
    <t>PV-01</t>
  </si>
  <si>
    <t>Platform</t>
  </si>
  <si>
    <t>Provision isolated AI development and test environment</t>
  </si>
  <si>
    <t>AI Engineering</t>
  </si>
  <si>
    <t>Secure test environment</t>
  </si>
  <si>
    <t>PV-02</t>
  </si>
  <si>
    <t>Integrations</t>
  </si>
  <si>
    <t>Connect incident platform and monitoring sources read-only</t>
  </si>
  <si>
    <t>Integration Engineering</t>
  </si>
  <si>
    <t>Incident and alert connectors</t>
  </si>
  <si>
    <t>PV-03</t>
  </si>
  <si>
    <t>Knowledge</t>
  </si>
  <si>
    <t>Ingest approved CMDB, runbooks, RCAs and dependency maps</t>
  </si>
  <si>
    <t>Knowledge Manager</t>
  </si>
  <si>
    <t>Curated knowledge index</t>
  </si>
  <si>
    <t>PV-04</t>
  </si>
  <si>
    <t>Build incident context aggregation and summarization</t>
  </si>
  <si>
    <t>Incident context summary</t>
  </si>
  <si>
    <t>PV-05</t>
  </si>
  <si>
    <t>Build ownership and on-call recommendation capability</t>
  </si>
  <si>
    <t>PV-02, PV-03</t>
  </si>
  <si>
    <t>Resolver recommendation</t>
  </si>
  <si>
    <t>M1-M2</t>
  </si>
  <si>
    <t>PV-06</t>
  </si>
  <si>
    <t>Build runbook and historical incident discovery</t>
  </si>
  <si>
    <t>Evidence-linked recommendations</t>
  </si>
  <si>
    <t>PV-07</t>
  </si>
  <si>
    <t>Add confidence scoring, citations and evidence display</t>
  </si>
  <si>
    <t>PV-04, PV-05</t>
  </si>
  <si>
    <t>Transparent AI output</t>
  </si>
  <si>
    <t>PV-08</t>
  </si>
  <si>
    <t>Perform privacy, prompt-injection and access-control tests</t>
  </si>
  <si>
    <t>Security / AI Engineering</t>
  </si>
  <si>
    <t>Security test report</t>
  </si>
  <si>
    <t>PV-09</t>
  </si>
  <si>
    <t>Testing</t>
  </si>
  <si>
    <t>Create benchmark set and accuracy evaluation harness</t>
  </si>
  <si>
    <t>QA / SRE</t>
  </si>
  <si>
    <t>Evaluation dataset</t>
  </si>
  <si>
    <t>M2</t>
  </si>
  <si>
    <t>PV-10</t>
  </si>
  <si>
    <t>Execute MVP functional, quality and hallucination testing</t>
  </si>
  <si>
    <t>PV-06, PV-08, PV-09</t>
  </si>
  <si>
    <t>MVP test report</t>
  </si>
  <si>
    <t>MVP READY FOR PILOT</t>
  </si>
  <si>
    <t>Pilot authorization</t>
  </si>
  <si>
    <t>PL-01</t>
  </si>
  <si>
    <t>Pilot Readiness</t>
  </si>
  <si>
    <t>Select pilot services, Sev-2 incidents and responder cohort</t>
  </si>
  <si>
    <t>Pilot scope and roster</t>
  </si>
  <si>
    <t>PL-02</t>
  </si>
  <si>
    <t>Change &amp; Adoption</t>
  </si>
  <si>
    <t>Train incident commanders and SRE responders</t>
  </si>
  <si>
    <t>Change Lead</t>
  </si>
  <si>
    <t>Training completion</t>
  </si>
  <si>
    <t>PL-03</t>
  </si>
  <si>
    <t>Operations</t>
  </si>
  <si>
    <t>Launch shadow-mode Sev-2 pilot</t>
  </si>
  <si>
    <t>SRE Lead</t>
  </si>
  <si>
    <t>Shadow pilot live</t>
  </si>
  <si>
    <t>PL-04</t>
  </si>
  <si>
    <t>Measure ownership, context, MTTR and recommendation accuracy</t>
  </si>
  <si>
    <t>TPM / Data Analyst</t>
  </si>
  <si>
    <t>Weekly pilot scorecard</t>
  </si>
  <si>
    <t>PL-05</t>
  </si>
  <si>
    <t>AI Quality</t>
  </si>
  <si>
    <t>Review false positives, hallucinations and confidence calibration</t>
  </si>
  <si>
    <t>AI Engineering / SRE</t>
  </si>
  <si>
    <t>Quality findings</t>
  </si>
  <si>
    <t>PL-06</t>
  </si>
  <si>
    <t>Adoption</t>
  </si>
  <si>
    <t>Collect responder feedback and acceptance data</t>
  </si>
  <si>
    <t>Adoption feedback</t>
  </si>
  <si>
    <t>PL-07</t>
  </si>
  <si>
    <t>Enable assisted mode with mandatory human validation</t>
  </si>
  <si>
    <t>Assisted pilot live</t>
  </si>
  <si>
    <t>PL-08</t>
  </si>
  <si>
    <t>Review audit evidence and access logs</t>
  </si>
  <si>
    <t>Pilot control report</t>
  </si>
  <si>
    <t>PL-09</t>
  </si>
  <si>
    <t>Pilot retrospective and remediation actions</t>
  </si>
  <si>
    <t>PL-04, PL-05, PL-06</t>
  </si>
  <si>
    <t>Pilot retrospective</t>
  </si>
  <si>
    <t>PILOT SUCCESS: accuracy &gt;=80% and positive responder feedback</t>
  </si>
  <si>
    <t>PL-08, PL-09</t>
  </si>
  <si>
    <t>Production rollout authorization</t>
  </si>
  <si>
    <t>M3</t>
  </si>
  <si>
    <t>PR-01</t>
  </si>
  <si>
    <t>Harden availability, capacity, monitoring and support model</t>
  </si>
  <si>
    <t>Production-ready platform</t>
  </si>
  <si>
    <t>PR-02</t>
  </si>
  <si>
    <t>Complete production connectors and data-quality monitoring</t>
  </si>
  <si>
    <t>Production integrations</t>
  </si>
  <si>
    <t>PR-03</t>
  </si>
  <si>
    <t>Complete production security, compliance and audit approval</t>
  </si>
  <si>
    <t>Security sign-off</t>
  </si>
  <si>
    <t>PR-04</t>
  </si>
  <si>
    <t>Finalize SOPs, training, communications and support model</t>
  </si>
  <si>
    <t>Change Lead / TPM</t>
  </si>
  <si>
    <t>Operational readiness pack</t>
  </si>
  <si>
    <t>PR-05</t>
  </si>
  <si>
    <t>Deployment</t>
  </si>
  <si>
    <t>Roll out to Sev-2 incidents</t>
  </si>
  <si>
    <t>PR-01, PR-02, PR-03</t>
  </si>
  <si>
    <t>Sev-2 production enablement</t>
  </si>
  <si>
    <t>PR-06</t>
  </si>
  <si>
    <t>Controlled rollout to Sev-1 incidents</t>
  </si>
  <si>
    <t>Sev-1 production enablement</t>
  </si>
  <si>
    <t>PR-07</t>
  </si>
  <si>
    <t>Hypercare and daily quality review</t>
  </si>
  <si>
    <t>SRE / AI Engineering</t>
  </si>
  <si>
    <t>Hypercare evidence</t>
  </si>
  <si>
    <t>PR-08</t>
  </si>
  <si>
    <t>Validate production KPI movement and adoption</t>
  </si>
  <si>
    <t>Production KPI report</t>
  </si>
  <si>
    <t>PR-09</t>
  </si>
  <si>
    <t>Transition support, incident ownership and escalation model</t>
  </si>
  <si>
    <t>Support acceptance</t>
  </si>
  <si>
    <t>PRODUCTION ACCEPTED</t>
  </si>
  <si>
    <t>PR-03, PR-08, PR-09</t>
  </si>
  <si>
    <t>Production acceptance</t>
  </si>
  <si>
    <t>M4</t>
  </si>
  <si>
    <t>OP-01</t>
  </si>
  <si>
    <t>Build real-time incident timeline scribing</t>
  </si>
  <si>
    <t>Real-time incident timeline</t>
  </si>
  <si>
    <t>OP-02</t>
  </si>
  <si>
    <t>Build RCA and action-item drafting</t>
  </si>
  <si>
    <t>Evidence-linked RCA draft</t>
  </si>
  <si>
    <t>OP-03</t>
  </si>
  <si>
    <t>Analytics</t>
  </si>
  <si>
    <t>Build trend analytics and executive dashboards</t>
  </si>
  <si>
    <t>Data / BI</t>
  </si>
  <si>
    <t>Executive dashboard</t>
  </si>
  <si>
    <t>OP-04</t>
  </si>
  <si>
    <t>Establish content curation and knowledge freshness process</t>
  </si>
  <si>
    <t>Knowledge governance SOP</t>
  </si>
  <si>
    <t>OP-05</t>
  </si>
  <si>
    <t>Model Governance</t>
  </si>
  <si>
    <t>Establish quarterly model review, drift monitoring and retraining</t>
  </si>
  <si>
    <t>AI Engineering / Security</t>
  </si>
  <si>
    <t>Model governance process</t>
  </si>
  <si>
    <t>OP-06</t>
  </si>
  <si>
    <t>Validate RCA quality, timeline accuracy and analytics</t>
  </si>
  <si>
    <t>OP-01, OP-02, OP-03</t>
  </si>
  <si>
    <t>Optimization test report</t>
  </si>
  <si>
    <t>OP-07</t>
  </si>
  <si>
    <t>Value Realization</t>
  </si>
  <si>
    <t>Complete final KPI, adoption and business-outcome assessment</t>
  </si>
  <si>
    <t>Benefits realization report</t>
  </si>
  <si>
    <t>OP-08</t>
  </si>
  <si>
    <t>Operational handoff and lessons learned</t>
  </si>
  <si>
    <t>OP-04, OP-05, OP-07</t>
  </si>
  <si>
    <t>Closure and handoff report</t>
  </si>
  <si>
    <t>PROGRAM COMPLETE</t>
  </si>
  <si>
    <t>Program closure</t>
  </si>
  <si>
    <t>AI Capability &amp; Control Tracker</t>
  </si>
  <si>
    <t>Capability delivery, data sources, outputs and mandatory human controls</t>
  </si>
  <si>
    <t>Capability</t>
  </si>
  <si>
    <t>Primary Data Sources</t>
  </si>
  <si>
    <t>AI Output</t>
  </si>
  <si>
    <t>User</t>
  </si>
  <si>
    <t>Confidence Required</t>
  </si>
  <si>
    <t>Evidence Displayed</t>
  </si>
  <si>
    <t>Human Approval</t>
  </si>
  <si>
    <t>Delivery Status</t>
  </si>
  <si>
    <t>Incident Context Aggregation</t>
  </si>
  <si>
    <t>Prototype</t>
  </si>
  <si>
    <t>Alerts, logs, metrics, traces, dependencies</t>
  </si>
  <si>
    <t>Single incident context summary</t>
  </si>
  <si>
    <t>Incident Commander</t>
  </si>
  <si>
    <t>Required for actions</t>
  </si>
  <si>
    <t>Ownership Recommendation</t>
  </si>
  <si>
    <t>CMDB, service ownership, on-call schedules</t>
  </si>
  <si>
    <t>Primary and secondary resolver teams</t>
  </si>
  <si>
    <t>Required</t>
  </si>
  <si>
    <t>Change Correlation</t>
  </si>
  <si>
    <t>Production</t>
  </si>
  <si>
    <t>Deployments, infrastructure and configuration changes</t>
  </si>
  <si>
    <t>Recent-change candidates</t>
  </si>
  <si>
    <t>SRE Engineers</t>
  </si>
  <si>
    <t>Historical Incident Discovery</t>
  </si>
  <si>
    <t>Incidents, RCAs, problem records</t>
  </si>
  <si>
    <t>Similar incidents and prior mitigations</t>
  </si>
  <si>
    <t>Runbook Discovery</t>
  </si>
  <si>
    <t>Approved runbooks and troubleshooting guides</t>
  </si>
  <si>
    <t>Relevant runbook suggestions</t>
  </si>
  <si>
    <t>Executive Communications</t>
  </si>
  <si>
    <t>Incident context and impact data</t>
  </si>
  <si>
    <t>Draft status and leadership updates</t>
  </si>
  <si>
    <t>Leadership</t>
  </si>
  <si>
    <t>Incident Commander approval</t>
  </si>
  <si>
    <t>RCA Drafting</t>
  </si>
  <si>
    <t>Timeline, logs, decisions and actions</t>
  </si>
  <si>
    <t>Draft RCA and action items</t>
  </si>
  <si>
    <t>SRE / App Teams</t>
  </si>
  <si>
    <t>Engineering review</t>
  </si>
  <si>
    <t>Incident Timeline Scribing</t>
  </si>
  <si>
    <t>Incident events, decisions and status updates</t>
  </si>
  <si>
    <t>Incident Commander review</t>
  </si>
  <si>
    <t>Milestone &amp; Gate Readiness</t>
  </si>
  <si>
    <t>Summary is calculated from the Gate Criteria Checklist.</t>
  </si>
  <si>
    <t>Gate ID</t>
  </si>
  <si>
    <t>Decision Point</t>
  </si>
  <si>
    <t>Target Week</t>
  </si>
  <si>
    <t>Approver</t>
  </si>
  <si>
    <t># Criteria</t>
  </si>
  <si>
    <t># Complete</t>
  </si>
  <si>
    <t>Readiness %</t>
  </si>
  <si>
    <t>Decision / Notes</t>
  </si>
  <si>
    <t>Evidence Owner</t>
  </si>
  <si>
    <t>PILOT SUCCESS</t>
  </si>
  <si>
    <t>RAG Logic</t>
  </si>
  <si>
    <t>0 criteria complete</t>
  </si>
  <si>
    <t>Red</t>
  </si>
  <si>
    <t>1%-74% complete</t>
  </si>
  <si>
    <t>Amber</t>
  </si>
  <si>
    <t>75%-99% complete</t>
  </si>
  <si>
    <t>Green</t>
  </si>
  <si>
    <t>100% complete</t>
  </si>
  <si>
    <t>Gate Exit-Criteria Checklist</t>
  </si>
  <si>
    <t>Update the Status and Evidence Link columns. Gate Readiness recalculates automatically.</t>
  </si>
  <si>
    <t>Exit Criterion</t>
  </si>
  <si>
    <t>Evidence / Artefact</t>
  </si>
  <si>
    <t>Source</t>
  </si>
  <si>
    <t>Comments / Evidence Link</t>
  </si>
  <si>
    <t>Requirements and use cases approved</t>
  </si>
  <si>
    <t>Required approval or test evidence</t>
  </si>
  <si>
    <t>Program Plan</t>
  </si>
  <si>
    <t>Architecture and integrations approved</t>
  </si>
  <si>
    <t>Baseline KPIs established</t>
  </si>
  <si>
    <t>Human-in-the-loop controls approved</t>
  </si>
  <si>
    <t>Read-only access design approved</t>
  </si>
  <si>
    <t>MVP capabilities demonstrated</t>
  </si>
  <si>
    <t>Benchmark dataset approved</t>
  </si>
  <si>
    <t>Accuracy evaluation completed</t>
  </si>
  <si>
    <t>QA Lead</t>
  </si>
  <si>
    <t>Security and access tests passed</t>
  </si>
  <si>
    <t>Evidence and confidence displayed</t>
  </si>
  <si>
    <t>Recommendation accuracy &gt;= 80%</t>
  </si>
  <si>
    <t>Positive responder feedback</t>
  </si>
  <si>
    <t>No unauthorized production action</t>
  </si>
  <si>
    <t>Audit evidence complete</t>
  </si>
  <si>
    <t>Pilot KPI report accepted</t>
  </si>
  <si>
    <t>Production security approval</t>
  </si>
  <si>
    <t>Sev-1 and Sev-2 workflows enabled</t>
  </si>
  <si>
    <t>Training and support model complete</t>
  </si>
  <si>
    <t>Production KPI review complete</t>
  </si>
  <si>
    <t>SRE operational acceptance</t>
  </si>
  <si>
    <t>MTTR target assessed</t>
  </si>
  <si>
    <t>Ownership and context targets assessed</t>
  </si>
  <si>
    <t>RCA and communications targets assessed</t>
  </si>
  <si>
    <t>Model governance and knowledge process accepted</t>
  </si>
  <si>
    <t>Operational handoff complete</t>
  </si>
  <si>
    <t>Critical Dependency Register</t>
  </si>
  <si>
    <t>Technical, data, security, operational and adoption dependencies.</t>
  </si>
  <si>
    <t>ID</t>
  </si>
  <si>
    <t>Category</t>
  </si>
  <si>
    <t>Dependency</t>
  </si>
  <si>
    <t>Provider / Owner</t>
  </si>
  <si>
    <t>Blocks Task</t>
  </si>
  <si>
    <t>Needed By Wk</t>
  </si>
  <si>
    <t>Latest Start Wk</t>
  </si>
  <si>
    <t>Urgency</t>
  </si>
  <si>
    <t>Capability / Phase</t>
  </si>
  <si>
    <t>Mitigation / Action</t>
  </si>
  <si>
    <t>D-01</t>
  </si>
  <si>
    <t>Technical</t>
  </si>
  <si>
    <t>Read-only API access to monitoring tools</t>
  </si>
  <si>
    <t>Monitoring Platform Owner</t>
  </si>
  <si>
    <t>Start at kickoff</t>
  </si>
  <si>
    <t>All</t>
  </si>
  <si>
    <t>Confirm API scopes and rate limits; use test tenant</t>
  </si>
  <si>
    <t>D-02</t>
  </si>
  <si>
    <t>Incident platform integration and event schema</t>
  </si>
  <si>
    <t>ServiceNow/PagerDuty Owner</t>
  </si>
  <si>
    <t>Agree incident fields, webhooks and sandbox access</t>
  </si>
  <si>
    <t>D-03</t>
  </si>
  <si>
    <t>Data</t>
  </si>
  <si>
    <t>CMDB and service ownership data quality</t>
  </si>
  <si>
    <t>CMDB Owner</t>
  </si>
  <si>
    <t>Month 1</t>
  </si>
  <si>
    <t>Ownership</t>
  </si>
  <si>
    <t>Data profiling, owner attestation and exception queue</t>
  </si>
  <si>
    <t>D-04</t>
  </si>
  <si>
    <t>Runbooks, RCAs and incident records are searchable and current</t>
  </si>
  <si>
    <t>Content curation, metadata standards and freshness SLA</t>
  </si>
  <si>
    <t>D-05</t>
  </si>
  <si>
    <t>RBAC, privacy, audit and retention approval</t>
  </si>
  <si>
    <t>Security embedded from discovery</t>
  </si>
  <si>
    <t>D-06</t>
  </si>
  <si>
    <t>AI</t>
  </si>
  <si>
    <t>Enterprise AI platform and model access</t>
  </si>
  <si>
    <t>AI Platform Owner</t>
  </si>
  <si>
    <t>Approve model, capacity, logging and data boundaries</t>
  </si>
  <si>
    <t>D-07</t>
  </si>
  <si>
    <t>Incident Commander and SRE availability for pilot</t>
  </si>
  <si>
    <t>SRE Leadership</t>
  </si>
  <si>
    <t>Month 2</t>
  </si>
  <si>
    <t>Pilot</t>
  </si>
  <si>
    <t>Pre-book cohort and delegate alternates</t>
  </si>
  <si>
    <t>D-08</t>
  </si>
  <si>
    <t>Representative historical incident benchmark set</t>
  </si>
  <si>
    <t>Quality</t>
  </si>
  <si>
    <t>Sample across services, severities and failure modes</t>
  </si>
  <si>
    <t>D-09</t>
  </si>
  <si>
    <t>Integration</t>
  </si>
  <si>
    <t>On-call schedules and escalation contacts accessible</t>
  </si>
  <si>
    <t>On-call Platform Owner</t>
  </si>
  <si>
    <t>Validate roster freshness and fallback contacts</t>
  </si>
  <si>
    <t>D-10</t>
  </si>
  <si>
    <t>Change</t>
  </si>
  <si>
    <t>Deployment and change history correlation data available</t>
  </si>
  <si>
    <t>Change Management</t>
  </si>
  <si>
    <t>Standardize timestamps and service identifiers</t>
  </si>
  <si>
    <t>D-11</t>
  </si>
  <si>
    <t>Responder training and operating procedure approval</t>
  </si>
  <si>
    <t>Rollout</t>
  </si>
  <si>
    <t>Role-based training and pilot champions</t>
  </si>
  <si>
    <t>D-12</t>
  </si>
  <si>
    <t>Governance</t>
  </si>
  <si>
    <t>Human-in-the-loop and evidence requirements remain mandatory</t>
  </si>
  <si>
    <t>SRE / Security</t>
  </si>
  <si>
    <t>All weeks</t>
  </si>
  <si>
    <t>W1</t>
  </si>
  <si>
    <t>Always</t>
  </si>
  <si>
    <t>No production action endpoints; audit recommendations</t>
  </si>
  <si>
    <t>Top Program Risks</t>
  </si>
  <si>
    <t>AI quality, security, adoption, integration, operations and governance risks.</t>
  </si>
  <si>
    <t>Risk</t>
  </si>
  <si>
    <t>Impact</t>
  </si>
  <si>
    <t>Linked Tasks</t>
  </si>
  <si>
    <t>Score</t>
  </si>
  <si>
    <t>Mitigation</t>
  </si>
  <si>
    <t>Contingency</t>
  </si>
  <si>
    <t>Early Warning</t>
  </si>
  <si>
    <t>Due Week</t>
  </si>
  <si>
    <t>Residual RAG</t>
  </si>
  <si>
    <t>TPM Notes</t>
  </si>
  <si>
    <t>R-01</t>
  </si>
  <si>
    <t>Incorrect ownership recommendations</t>
  </si>
  <si>
    <t>Delayed response</t>
  </si>
  <si>
    <t>PV-05, PL-04</t>
  </si>
  <si>
    <t>Human validation; benchmark testing; confidence scoring</t>
  </si>
  <si>
    <t>Route to Incident Commander and manual resolver lookup</t>
  </si>
  <si>
    <t>Accuracy &lt;80%</t>
  </si>
  <si>
    <t>Open</t>
  </si>
  <si>
    <t>R-02</t>
  </si>
  <si>
    <t>Hallucinated conclusions or unsupported recommendations</t>
  </si>
  <si>
    <t>Incorrect troubleshooting</t>
  </si>
  <si>
    <t>PV-07, PV-10</t>
  </si>
  <si>
    <t>Evidence-based outputs; citations; abstain below threshold</t>
  </si>
  <si>
    <t>Disable affected capability and use standard workflow</t>
  </si>
  <si>
    <t>Unsupported claim found</t>
  </si>
  <si>
    <t>R-03</t>
  </si>
  <si>
    <t>Low engineer trust and poor usage</t>
  </si>
  <si>
    <t>Reduced adoption</t>
  </si>
  <si>
    <t>PL-02, PL-06</t>
  </si>
  <si>
    <t>Transparency, responder champions, feedback loop</t>
  </si>
  <si>
    <t>Extend pilot and simplify outputs</t>
  </si>
  <si>
    <t>Acceptance rate below target</t>
  </si>
  <si>
    <t>R-04</t>
  </si>
  <si>
    <t>Sensitive incident data exposed to unauthorized users</t>
  </si>
  <si>
    <t>Compliance impact</t>
  </si>
  <si>
    <t>DD-04, PV-08</t>
  </si>
  <si>
    <t>RBAC, read-only access, audit logging and retention controls</t>
  </si>
  <si>
    <t>Suspend integration and perform security review</t>
  </si>
  <si>
    <t>Access-control violation</t>
  </si>
  <si>
    <t>R-05</t>
  </si>
  <si>
    <t>Incomplete or stale CMDB, runbooks and ownership data</t>
  </si>
  <si>
    <t>Poor recommendations</t>
  </si>
  <si>
    <t>PV-03, PV-05</t>
  </si>
  <si>
    <t>Content curation, freshness SLAs and owner attestation</t>
  </si>
  <si>
    <t>Show uncertainty and route exceptions manually</t>
  </si>
  <si>
    <t>High no-match rate</t>
  </si>
  <si>
    <t>R-06</t>
  </si>
  <si>
    <t>Model drift reduces quality over time</t>
  </si>
  <si>
    <t>Decreasing accuracy</t>
  </si>
  <si>
    <t>Quarterly review, drift monitoring and retraining</t>
  </si>
  <si>
    <t>Rollback model/version and recalibrate</t>
  </si>
  <si>
    <t>Accuracy trend declines</t>
  </si>
  <si>
    <t>R-07</t>
  </si>
  <si>
    <t>API limits or connector outages delay context gathering</t>
  </si>
  <si>
    <t>Incomplete incident brief</t>
  </si>
  <si>
    <t>PV-02, PR-02</t>
  </si>
  <si>
    <t>Caching, retries, health monitoring and graceful degradation</t>
  </si>
  <si>
    <t>Fallback to manual source access</t>
  </si>
  <si>
    <t>Connector latency/error spike</t>
  </si>
  <si>
    <t>R-08</t>
  </si>
  <si>
    <t>AI output distracts responders during Sev-1 incidents</t>
  </si>
  <si>
    <t>Slower response</t>
  </si>
  <si>
    <t>Concise output, confidence thresholds, IC-controlled use</t>
  </si>
  <si>
    <t>Disable AI panel for active incident</t>
  </si>
  <si>
    <t>Responder reports noise</t>
  </si>
  <si>
    <t>R-09</t>
  </si>
  <si>
    <t>Insufficient incident sample size obscures KPI impact</t>
  </si>
  <si>
    <t>Unclear value</t>
  </si>
  <si>
    <t>PL-04, PR-08</t>
  </si>
  <si>
    <t>Define measurement window and compare matched incidents</t>
  </si>
  <si>
    <t>Extend measurement period</t>
  </si>
  <si>
    <t>High metric variance</t>
  </si>
  <si>
    <t>R-10</t>
  </si>
  <si>
    <t>Scope</t>
  </si>
  <si>
    <t>Pressure to add autonomous remediation</t>
  </si>
  <si>
    <t>Additional production risk</t>
  </si>
  <si>
    <t>Enforce non-negotiable scope and architecture controls</t>
  </si>
  <si>
    <t>Steering Committee scope decision</t>
  </si>
  <si>
    <t>Action endpoint requested</t>
  </si>
  <si>
    <t>TPM / Security</t>
  </si>
  <si>
    <t>KPI &amp; Benefits Scorecard</t>
  </si>
  <si>
    <t>Baselines and targets are from the AI-Assisted Incident Management Program Plan.</t>
  </si>
  <si>
    <t>Metric</t>
  </si>
  <si>
    <t>Pilot Actual</t>
  </si>
  <si>
    <t>Production Actual</t>
  </si>
  <si>
    <t>Target Met?</t>
  </si>
  <si>
    <t>Data Owner</t>
  </si>
  <si>
    <t>Measurement Method</t>
  </si>
  <si>
    <t>Notes</t>
  </si>
  <si>
    <t>Operational</t>
  </si>
  <si>
    <t>Median MTTR for in-scope incidents</t>
  </si>
  <si>
    <t>30% reduction target</t>
  </si>
  <si>
    <t>Incident Management</t>
  </si>
  <si>
    <t>Time from creation to correct resolver ownership</t>
  </si>
  <si>
    <t>75% reduction target</t>
  </si>
  <si>
    <t>Time to approved incident brief</t>
  </si>
  <si>
    <t>Communication</t>
  </si>
  <si>
    <t>Time to first approved executive update</t>
  </si>
  <si>
    <t>AI drafts; human approval</t>
  </si>
  <si>
    <t>Post-Incident</t>
  </si>
  <si>
    <t>Problem Management</t>
  </si>
  <si>
    <t>Time to first reviewable RCA draft</t>
  </si>
  <si>
    <t>Engineering review required</t>
  </si>
  <si>
    <t>Correct resolver recommendation rate</t>
  </si>
  <si>
    <t>Incidents where recommended runbook was used</t>
  </si>
  <si>
    <t>Recommendation Accuracy</t>
  </si>
  <si>
    <t>TBD</t>
  </si>
  <si>
    <t>&gt;= 80%</t>
  </si>
  <si>
    <t>SRE / QA</t>
  </si>
  <si>
    <t>Benchmark and pilot evaluation</t>
  </si>
  <si>
    <t>Pilot exit criterion</t>
  </si>
  <si>
    <t>AI Usage Rate</t>
  </si>
  <si>
    <t>Majority of Sev-1/2</t>
  </si>
  <si>
    <t>Eligible incidents using the agent</t>
  </si>
  <si>
    <t>Usage alone is not success</t>
  </si>
  <si>
    <t>Responder Satisfaction</t>
  </si>
  <si>
    <t>Positive feedback</t>
  </si>
  <si>
    <t>Post-incident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</si>
</sst>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7365D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7030A0"/>
      </patternFill>
    </fill>
    <fill>
      <patternFill patternType="solid">
        <fgColor rgb="FF548235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F3F6FA"/>
      </patternFill>
    </fill>
    <fill>
      <patternFill patternType="solid">
        <fgColor rgb="FFEAF2F8"/>
      </patternFill>
    </fill>
    <fill>
      <patternFill patternType="solid">
        <fgColor rgb="FF17365D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6" borderId="4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6" xfId="0" applyFill="1" applyBorder="1" applyAlignment="1">
      <alignment vertical="top" wrapText="1"/>
    </xf>
    <xf numFmtId="0" fontId="0" fillId="7" borderId="7" xfId="0" applyFill="1" applyBorder="1" applyAlignment="1">
      <alignment vertical="top" wrapText="1"/>
    </xf>
    <xf numFmtId="0" fontId="0" fillId="7" borderId="8" xfId="0" applyFill="1" applyBorder="1" applyAlignment="1">
      <alignment vertical="top" wrapText="1"/>
    </xf>
    <xf numFmtId="0" fontId="0" fillId="7" borderId="9" xfId="0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</cellXfs>
  <cellStyles count="1">
    <cellStyle name="Normal" xfId="0" builtinId="0"/>
  </cellStyles>
  <dxfs count="99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gramTracker" displayName="ProgramTracker" ref="A4:U58" headerRowDxfId="98" totalsRowDxfId="95" headerRowBorderDxfId="97" tableBorderDxfId="96">
  <autoFilter ref="A4:U58" xr:uid="{00000000-0009-0000-0100-000001000000}"/>
  <tableColumns count="21">
    <tableColumn id="1" xr3:uid="{00000000-0010-0000-0000-000001000000}" name="Month" dataDxfId="94"/>
    <tableColumn id="2" xr3:uid="{00000000-0010-0000-0000-000002000000}" name="Phase" dataDxfId="93"/>
    <tableColumn id="3" xr3:uid="{00000000-0010-0000-0000-000003000000}" name="Task ID" dataDxfId="92"/>
    <tableColumn id="4" xr3:uid="{00000000-0010-0000-0000-000004000000}" name="Workstream" dataDxfId="91"/>
    <tableColumn id="5" xr3:uid="{00000000-0010-0000-0000-000005000000}" name="Task / Milestone" dataDxfId="90"/>
    <tableColumn id="6" xr3:uid="{00000000-0010-0000-0000-000006000000}" name="Owner" dataDxfId="89"/>
    <tableColumn id="7" xr3:uid="{00000000-0010-0000-0000-000007000000}" name="Type" dataDxfId="88"/>
    <tableColumn id="8" xr3:uid="{00000000-0010-0000-0000-000008000000}" name="Start Wk" dataDxfId="87"/>
    <tableColumn id="9" xr3:uid="{00000000-0010-0000-0000-000009000000}" name="Duration" dataDxfId="86"/>
    <tableColumn id="10" xr3:uid="{00000000-0010-0000-0000-00000A000000}" name="End Wk" dataDxfId="85"/>
    <tableColumn id="11" xr3:uid="{00000000-0010-0000-0000-00000B000000}" name="Predecessors" dataDxfId="84"/>
    <tableColumn id="12" xr3:uid="{00000000-0010-0000-0000-00000C000000}" name="Critical Path" dataDxfId="83"/>
    <tableColumn id="13" xr3:uid="{00000000-0010-0000-0000-00000D000000}" name="Status" dataDxfId="82"/>
    <tableColumn id="14" xr3:uid="{00000000-0010-0000-0000-00000E000000}" name="Deliverable / Evidence" dataDxfId="81"/>
    <tableColumn id="15" xr3:uid="{00000000-0010-0000-0000-00000F000000}" name="% Complete" dataDxfId="80"/>
    <tableColumn id="16" xr3:uid="{00000000-0010-0000-0000-000010000000}" name="RAG" dataDxfId="79"/>
    <tableColumn id="17" xr3:uid="{00000000-0010-0000-0000-000011000000}" name="Actual Start Wk" dataDxfId="78"/>
    <tableColumn id="18" xr3:uid="{00000000-0010-0000-0000-000012000000}" name="Forecast Finish Wk" dataDxfId="77"/>
    <tableColumn id="19" xr3:uid="{00000000-0010-0000-0000-000013000000}" name="Actual Finish Wk" dataDxfId="76"/>
    <tableColumn id="20" xr3:uid="{00000000-0010-0000-0000-000014000000}" name="Variance (Wks)" dataDxfId="75"/>
    <tableColumn id="21" xr3:uid="{00000000-0010-0000-0000-000015000000}" name="TPM Notes / Recovery Plan" dataDxfId="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pabilityTable" displayName="CapabilityTable" ref="A4:J12" headerRowDxfId="73" totalsRowDxfId="70" headerRowBorderDxfId="72" tableBorderDxfId="71">
  <autoFilter ref="A4:J12" xr:uid="{00000000-0009-0000-0100-000002000000}"/>
  <tableColumns count="10">
    <tableColumn id="1" xr3:uid="{00000000-0010-0000-0100-000001000000}" name="Capability" dataDxfId="69"/>
    <tableColumn id="2" xr3:uid="{00000000-0010-0000-0100-000002000000}" name="Phase" dataDxfId="68"/>
    <tableColumn id="3" xr3:uid="{00000000-0010-0000-0100-000003000000}" name="Primary Data Sources" dataDxfId="67"/>
    <tableColumn id="4" xr3:uid="{00000000-0010-0000-0100-000004000000}" name="AI Output" dataDxfId="66"/>
    <tableColumn id="5" xr3:uid="{00000000-0010-0000-0100-000005000000}" name="User" dataDxfId="65"/>
    <tableColumn id="6" xr3:uid="{00000000-0010-0000-0100-000006000000}" name="Confidence Required" dataDxfId="64"/>
    <tableColumn id="7" xr3:uid="{00000000-0010-0000-0100-000007000000}" name="Evidence Displayed" dataDxfId="63"/>
    <tableColumn id="8" xr3:uid="{00000000-0010-0000-0100-000008000000}" name="Human Approval" dataDxfId="62"/>
    <tableColumn id="9" xr3:uid="{00000000-0010-0000-0100-000009000000}" name="Delivery Status" dataDxfId="61"/>
    <tableColumn id="10" xr3:uid="{00000000-0010-0000-0100-00000A000000}" name="Owner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ateCriteria" displayName="GateCriteria" ref="A4:G29" headerRowDxfId="59" totalsRowDxfId="56" headerRowBorderDxfId="58" tableBorderDxfId="57">
  <autoFilter ref="A4:G29" xr:uid="{00000000-0009-0000-0100-000003000000}"/>
  <tableColumns count="7">
    <tableColumn id="1" xr3:uid="{00000000-0010-0000-0200-000001000000}" name="Gate ID" dataDxfId="55"/>
    <tableColumn id="2" xr3:uid="{00000000-0010-0000-0200-000002000000}" name="Exit Criterion" dataDxfId="54"/>
    <tableColumn id="3" xr3:uid="{00000000-0010-0000-0200-000003000000}" name="Owner" dataDxfId="53"/>
    <tableColumn id="4" xr3:uid="{00000000-0010-0000-0200-000004000000}" name="Evidence / Artefact" dataDxfId="52"/>
    <tableColumn id="5" xr3:uid="{00000000-0010-0000-0200-000005000000}" name="Source" dataDxfId="51"/>
    <tableColumn id="6" xr3:uid="{00000000-0010-0000-0200-000006000000}" name="Status" dataDxfId="50"/>
    <tableColumn id="7" xr3:uid="{00000000-0010-0000-0200-000007000000}" name="Comments / Evidence Link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pendencyTable" displayName="DependencyTable" ref="A4:L16" headerRowDxfId="48" totalsRowDxfId="45" headerRowBorderDxfId="47" tableBorderDxfId="46">
  <autoFilter ref="A4:L16" xr:uid="{00000000-0009-0000-0100-000004000000}"/>
  <tableColumns count="12">
    <tableColumn id="1" xr3:uid="{00000000-0010-0000-0300-000001000000}" name="ID" dataDxfId="44"/>
    <tableColumn id="2" xr3:uid="{00000000-0010-0000-0300-000002000000}" name="Category" dataDxfId="43"/>
    <tableColumn id="3" xr3:uid="{00000000-0010-0000-0300-000003000000}" name="Dependency" dataDxfId="42"/>
    <tableColumn id="4" xr3:uid="{00000000-0010-0000-0300-000004000000}" name="Provider / Owner" dataDxfId="41"/>
    <tableColumn id="5" xr3:uid="{00000000-0010-0000-0300-000005000000}" name="Blocks Task" dataDxfId="40"/>
    <tableColumn id="6" xr3:uid="{00000000-0010-0000-0300-000006000000}" name="Needed By Wk" dataDxfId="39"/>
    <tableColumn id="7" xr3:uid="{00000000-0010-0000-0300-000007000000}" name="Latest Start Wk" dataDxfId="38"/>
    <tableColumn id="8" xr3:uid="{00000000-0010-0000-0300-000008000000}" name="Urgency" dataDxfId="37"/>
    <tableColumn id="9" xr3:uid="{00000000-0010-0000-0300-000009000000}" name="Capability / Phase" dataDxfId="36"/>
    <tableColumn id="10" xr3:uid="{00000000-0010-0000-0300-00000A000000}" name="Mitigation / Action" dataDxfId="35"/>
    <tableColumn id="11" xr3:uid="{00000000-0010-0000-0300-00000B000000}" name="Status" dataDxfId="34"/>
    <tableColumn id="12" xr3:uid="{00000000-0010-0000-0300-00000C000000}" name="RAG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Table" displayName="RiskTable" ref="A4:O14" headerRowDxfId="32" totalsRowDxfId="29" headerRowBorderDxfId="31" tableBorderDxfId="30">
  <autoFilter ref="A4:O14" xr:uid="{00000000-0009-0000-0100-000005000000}"/>
  <tableColumns count="15">
    <tableColumn id="1" xr3:uid="{00000000-0010-0000-0400-000001000000}" name="ID" dataDxfId="28"/>
    <tableColumn id="2" xr3:uid="{00000000-0010-0000-0400-000002000000}" name="Category" dataDxfId="27"/>
    <tableColumn id="3" xr3:uid="{00000000-0010-0000-0400-000003000000}" name="Risk" dataDxfId="26"/>
    <tableColumn id="4" xr3:uid="{00000000-0010-0000-0400-000004000000}" name="Impact" dataDxfId="25"/>
    <tableColumn id="5" xr3:uid="{00000000-0010-0000-0400-000005000000}" name="Linked Tasks" dataDxfId="24"/>
    <tableColumn id="6" xr3:uid="{00000000-0010-0000-0400-000006000000}" name="Score" dataDxfId="23"/>
    <tableColumn id="7" xr3:uid="{00000000-0010-0000-0400-000007000000}" name="RAG" dataDxfId="22"/>
    <tableColumn id="8" xr3:uid="{00000000-0010-0000-0400-000008000000}" name="Mitigation" dataDxfId="21"/>
    <tableColumn id="9" xr3:uid="{00000000-0010-0000-0400-000009000000}" name="Contingency" dataDxfId="20"/>
    <tableColumn id="10" xr3:uid="{00000000-0010-0000-0400-00000A000000}" name="Early Warning" dataDxfId="19"/>
    <tableColumn id="11" xr3:uid="{00000000-0010-0000-0400-00000B000000}" name="Owner" dataDxfId="18"/>
    <tableColumn id="12" xr3:uid="{00000000-0010-0000-0400-00000C000000}" name="Due Week" dataDxfId="17"/>
    <tableColumn id="13" xr3:uid="{00000000-0010-0000-0400-00000D000000}" name="Residual RAG" dataDxfId="16"/>
    <tableColumn id="14" xr3:uid="{00000000-0010-0000-0400-00000E000000}" name="Status" dataDxfId="15"/>
    <tableColumn id="15" xr3:uid="{00000000-0010-0000-0400-00000F000000}" name="TPM Notes" dataDxfId="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KPITable" displayName="KPITable" ref="A4:J14" headerRowDxfId="13" totalsRowDxfId="10" headerRowBorderDxfId="12" tableBorderDxfId="11">
  <autoFilter ref="A4:J14" xr:uid="{00000000-0009-0000-0100-000006000000}"/>
  <tableColumns count="10">
    <tableColumn id="1" xr3:uid="{00000000-0010-0000-0500-000001000000}" name="Metric" dataDxfId="9"/>
    <tableColumn id="2" xr3:uid="{00000000-0010-0000-0500-000002000000}" name="Category" dataDxfId="8"/>
    <tableColumn id="3" xr3:uid="{00000000-0010-0000-0500-000003000000}" name="Baseline" dataDxfId="7"/>
    <tableColumn id="4" xr3:uid="{00000000-0010-0000-0500-000004000000}" name="Target" dataDxfId="6"/>
    <tableColumn id="5" xr3:uid="{00000000-0010-0000-0500-000005000000}" name="Pilot Actual" dataDxfId="5"/>
    <tableColumn id="6" xr3:uid="{00000000-0010-0000-0500-000006000000}" name="Production Actual" dataDxfId="4"/>
    <tableColumn id="7" xr3:uid="{00000000-0010-0000-0500-000007000000}" name="Target Met?" dataDxfId="3"/>
    <tableColumn id="8" xr3:uid="{00000000-0010-0000-0500-000008000000}" name="Data Owner" dataDxfId="2"/>
    <tableColumn id="9" xr3:uid="{00000000-0010-0000-0500-000009000000}" name="Measurement Method" dataDxfId="1"/>
    <tableColumn id="10" xr3:uid="{00000000-0010-0000-0500-00000A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topLeftCell="A6" workbookViewId="0">
      <selection activeCell="H5" sqref="H5"/>
    </sheetView>
  </sheetViews>
  <sheetFormatPr defaultRowHeight="14.5" x14ac:dyDescent="0.35"/>
  <cols>
    <col min="1" max="1" width="22.7265625" customWidth="1"/>
    <col min="2" max="2" width="11.453125" customWidth="1"/>
    <col min="3" max="3" width="12" customWidth="1"/>
    <col min="4" max="4" width="24" hidden="1" customWidth="1"/>
    <col min="5" max="5" width="24" customWidth="1"/>
    <col min="6" max="8" width="18" customWidth="1"/>
  </cols>
  <sheetData>
    <row r="1" spans="1:9" ht="30" customHeight="1" x14ac:dyDescent="0.35">
      <c r="A1" s="30" t="s">
        <v>0</v>
      </c>
      <c r="B1" s="29"/>
      <c r="C1" s="29"/>
      <c r="D1" s="29"/>
      <c r="E1" s="29"/>
      <c r="F1" s="29"/>
      <c r="G1" s="29"/>
      <c r="H1" s="29"/>
      <c r="I1" s="1"/>
    </row>
    <row r="2" spans="1:9" x14ac:dyDescent="0.35">
      <c r="A2" s="28" t="s">
        <v>1</v>
      </c>
      <c r="B2" s="29"/>
      <c r="C2" s="29"/>
      <c r="D2" s="29"/>
      <c r="E2" s="29"/>
      <c r="F2" s="29"/>
      <c r="G2" s="29"/>
      <c r="H2" s="29"/>
      <c r="I2" s="1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2" t="s">
        <v>2</v>
      </c>
      <c r="B4" s="2" t="s">
        <v>3</v>
      </c>
      <c r="C4" s="2" t="s">
        <v>4</v>
      </c>
      <c r="D4" s="2"/>
      <c r="E4" s="2" t="s">
        <v>5</v>
      </c>
      <c r="F4" s="2" t="s">
        <v>6</v>
      </c>
      <c r="G4" s="2" t="s">
        <v>7</v>
      </c>
      <c r="H4" s="2" t="s">
        <v>8</v>
      </c>
      <c r="I4" s="27"/>
    </row>
    <row r="5" spans="1:9" ht="72.5" x14ac:dyDescent="0.35">
      <c r="A5" s="3" t="s">
        <v>9</v>
      </c>
      <c r="B5" s="3" t="s">
        <v>10</v>
      </c>
      <c r="C5" s="3" t="s">
        <v>11</v>
      </c>
      <c r="D5" s="3"/>
      <c r="E5" s="3" t="s">
        <v>12</v>
      </c>
      <c r="F5" s="3" t="s">
        <v>13</v>
      </c>
      <c r="G5" s="3" t="s">
        <v>14</v>
      </c>
      <c r="H5" s="3" t="s">
        <v>15</v>
      </c>
      <c r="I5" s="27"/>
    </row>
    <row r="6" spans="1:9" ht="72.5" x14ac:dyDescent="0.35">
      <c r="A6" s="3" t="s">
        <v>16</v>
      </c>
      <c r="B6" s="3" t="s">
        <v>17</v>
      </c>
      <c r="C6" s="3" t="s">
        <v>18</v>
      </c>
      <c r="D6" s="3"/>
      <c r="E6" s="3" t="s">
        <v>19</v>
      </c>
      <c r="F6" s="3" t="s">
        <v>20</v>
      </c>
      <c r="G6" s="3" t="s">
        <v>21</v>
      </c>
      <c r="H6" s="3" t="s">
        <v>15</v>
      </c>
      <c r="I6" s="27"/>
    </row>
    <row r="7" spans="1:9" ht="58" x14ac:dyDescent="0.35">
      <c r="A7" s="3" t="s">
        <v>22</v>
      </c>
      <c r="B7" s="3" t="s">
        <v>23</v>
      </c>
      <c r="C7" s="3" t="s">
        <v>24</v>
      </c>
      <c r="D7" s="3"/>
      <c r="E7" s="3" t="s">
        <v>25</v>
      </c>
      <c r="F7" s="3" t="s">
        <v>26</v>
      </c>
      <c r="G7" s="3" t="s">
        <v>27</v>
      </c>
      <c r="H7" s="3" t="s">
        <v>15</v>
      </c>
      <c r="I7" s="27"/>
    </row>
    <row r="8" spans="1:9" ht="58" x14ac:dyDescent="0.35">
      <c r="A8" s="3" t="s">
        <v>28</v>
      </c>
      <c r="B8" s="3" t="s">
        <v>29</v>
      </c>
      <c r="C8" s="3" t="s">
        <v>30</v>
      </c>
      <c r="D8" s="3"/>
      <c r="E8" s="3" t="s">
        <v>31</v>
      </c>
      <c r="F8" s="3" t="s">
        <v>32</v>
      </c>
      <c r="G8" s="3" t="s">
        <v>33</v>
      </c>
      <c r="H8" s="3" t="s">
        <v>15</v>
      </c>
      <c r="I8" s="27"/>
    </row>
    <row r="9" spans="1:9" ht="72.5" x14ac:dyDescent="0.35">
      <c r="A9" s="3" t="s">
        <v>34</v>
      </c>
      <c r="B9" s="3" t="s">
        <v>35</v>
      </c>
      <c r="C9" s="3" t="s">
        <v>36</v>
      </c>
      <c r="D9" s="3"/>
      <c r="E9" s="3" t="s">
        <v>37</v>
      </c>
      <c r="F9" s="3" t="s">
        <v>38</v>
      </c>
      <c r="G9" s="3" t="s">
        <v>39</v>
      </c>
      <c r="H9" s="3" t="s">
        <v>15</v>
      </c>
      <c r="I9" s="27"/>
    </row>
    <row r="10" spans="1:9" x14ac:dyDescent="0.35">
      <c r="A10" s="3" t="s">
        <v>40</v>
      </c>
      <c r="B10" s="3" t="s">
        <v>41</v>
      </c>
      <c r="C10" s="3" t="s">
        <v>42</v>
      </c>
      <c r="D10" s="3"/>
      <c r="E10" s="3"/>
      <c r="F10" s="3"/>
      <c r="G10" s="3"/>
      <c r="H10" s="3"/>
      <c r="I10" s="27"/>
    </row>
    <row r="11" spans="1:9" x14ac:dyDescent="0.35">
      <c r="A11" s="3" t="s">
        <v>43</v>
      </c>
      <c r="B11" s="3" t="s">
        <v>44</v>
      </c>
      <c r="C11" s="3" t="s">
        <v>45</v>
      </c>
      <c r="D11" s="3"/>
      <c r="E11" s="3"/>
      <c r="F11" s="3"/>
      <c r="G11" s="3"/>
      <c r="H11" s="3"/>
      <c r="I11" s="27"/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 s="4" t="s">
        <v>46</v>
      </c>
      <c r="B14" s="4" t="s">
        <v>47</v>
      </c>
      <c r="C14" s="1"/>
      <c r="D14" s="31" t="s">
        <v>48</v>
      </c>
      <c r="E14" s="32"/>
      <c r="F14" s="32"/>
      <c r="G14" s="32"/>
      <c r="H14" s="32"/>
      <c r="I14" s="27"/>
    </row>
    <row r="15" spans="1:9" x14ac:dyDescent="0.35">
      <c r="A15" s="3" t="s">
        <v>49</v>
      </c>
      <c r="B15" s="3">
        <v>54</v>
      </c>
      <c r="C15" s="1"/>
      <c r="D15" s="33" t="s">
        <v>50</v>
      </c>
      <c r="E15" s="34" t="s">
        <v>51</v>
      </c>
      <c r="F15" s="34"/>
      <c r="G15" s="34"/>
      <c r="H15" s="34"/>
      <c r="I15" s="27"/>
    </row>
    <row r="16" spans="1:9" x14ac:dyDescent="0.35">
      <c r="A16" s="3" t="s">
        <v>52</v>
      </c>
      <c r="B16" s="3">
        <f>COUNTIF('Detailed Program Tracker'!L:L,"Yes")</f>
        <v>33</v>
      </c>
      <c r="C16" s="1"/>
      <c r="D16" s="35" t="s">
        <v>53</v>
      </c>
      <c r="E16" s="36" t="s">
        <v>54</v>
      </c>
      <c r="F16" s="36"/>
      <c r="G16" s="36"/>
      <c r="H16" s="36"/>
      <c r="I16" s="27"/>
    </row>
    <row r="17" spans="1:9" x14ac:dyDescent="0.35">
      <c r="A17" s="3" t="s">
        <v>55</v>
      </c>
      <c r="B17" s="3">
        <f>COUNTIF('Detailed Program Tracker'!M:M,"Complete")</f>
        <v>0</v>
      </c>
      <c r="C17" s="1"/>
      <c r="D17" s="33" t="s">
        <v>56</v>
      </c>
      <c r="E17" s="34" t="s">
        <v>57</v>
      </c>
      <c r="F17" s="34"/>
      <c r="G17" s="34"/>
      <c r="H17" s="34"/>
      <c r="I17" s="27"/>
    </row>
    <row r="18" spans="1:9" x14ac:dyDescent="0.35">
      <c r="A18" s="3" t="s">
        <v>58</v>
      </c>
      <c r="B18" s="3">
        <f>COUNTIF('Detailed Program Tracker'!M:M,"Blocked")</f>
        <v>0</v>
      </c>
      <c r="C18" s="1"/>
      <c r="D18" s="35" t="s">
        <v>59</v>
      </c>
      <c r="E18" s="36" t="s">
        <v>60</v>
      </c>
      <c r="F18" s="36"/>
      <c r="G18" s="36"/>
      <c r="H18" s="36"/>
      <c r="I18" s="27"/>
    </row>
    <row r="19" spans="1:9" x14ac:dyDescent="0.35">
      <c r="A19" s="3" t="s">
        <v>61</v>
      </c>
      <c r="B19" s="3">
        <f>COUNTIF('RAID Register'!G:G,"Red")</f>
        <v>6</v>
      </c>
      <c r="C19" s="1"/>
      <c r="D19" s="33" t="s">
        <v>62</v>
      </c>
      <c r="E19" s="34" t="s">
        <v>63</v>
      </c>
      <c r="F19" s="34"/>
      <c r="G19" s="34"/>
      <c r="H19" s="34"/>
      <c r="I19" s="27"/>
    </row>
    <row r="20" spans="1:9" x14ac:dyDescent="0.35">
      <c r="A20" s="3" t="s">
        <v>64</v>
      </c>
      <c r="B20" s="3">
        <f>COUNTIF('Gate Readiness'!I5:I9,"Green")</f>
        <v>0</v>
      </c>
      <c r="C20" s="1"/>
      <c r="D20" s="35" t="s">
        <v>65</v>
      </c>
      <c r="E20" s="36" t="s">
        <v>66</v>
      </c>
      <c r="F20" s="36"/>
      <c r="G20" s="36"/>
      <c r="H20" s="36"/>
      <c r="I20" s="27"/>
    </row>
    <row r="21" spans="1:9" x14ac:dyDescent="0.35">
      <c r="A21" s="1"/>
      <c r="B21" s="1"/>
      <c r="C21" s="1"/>
      <c r="D21" s="27"/>
      <c r="E21" s="27"/>
      <c r="F21" s="27"/>
      <c r="G21" s="27"/>
      <c r="H21" s="27"/>
      <c r="I21" s="27"/>
    </row>
    <row r="22" spans="1:9" x14ac:dyDescent="0.35">
      <c r="A22" s="1"/>
      <c r="B22" s="1"/>
      <c r="C22" s="1"/>
      <c r="D22" s="27"/>
      <c r="E22" s="27"/>
      <c r="F22" s="27"/>
      <c r="G22" s="27"/>
      <c r="H22" s="27"/>
      <c r="I22" s="27"/>
    </row>
    <row r="23" spans="1:9" x14ac:dyDescent="0.35">
      <c r="A23" s="1"/>
      <c r="B23" s="1"/>
      <c r="C23" s="1"/>
      <c r="D23" s="27"/>
      <c r="E23" s="27"/>
      <c r="F23" s="27"/>
      <c r="G23" s="27"/>
      <c r="H23" s="27"/>
      <c r="I23" s="27"/>
    </row>
    <row r="24" spans="1:9" x14ac:dyDescent="0.35">
      <c r="A24" s="1"/>
      <c r="B24" s="1"/>
      <c r="C24" s="1"/>
      <c r="D24" s="27"/>
      <c r="E24" s="27"/>
      <c r="F24" s="27"/>
      <c r="G24" s="27"/>
      <c r="H24" s="27"/>
      <c r="I24" s="27"/>
    </row>
    <row r="25" spans="1:9" x14ac:dyDescent="0.35">
      <c r="A25" s="1"/>
      <c r="B25" s="1"/>
      <c r="C25" s="1"/>
      <c r="D25" s="27"/>
      <c r="E25" s="27"/>
      <c r="F25" s="27"/>
      <c r="G25" s="27"/>
      <c r="H25" s="27"/>
      <c r="I25" s="27"/>
    </row>
    <row r="26" spans="1:9" x14ac:dyDescent="0.35">
      <c r="A26" s="1"/>
      <c r="B26" s="1"/>
      <c r="C26" s="1"/>
      <c r="D26" s="27"/>
      <c r="E26" s="27"/>
      <c r="F26" s="27"/>
      <c r="G26" s="27"/>
      <c r="H26" s="27"/>
      <c r="I26" s="27"/>
    </row>
    <row r="27" spans="1:9" x14ac:dyDescent="0.35">
      <c r="A27" s="1"/>
      <c r="B27" s="1"/>
      <c r="C27" s="1"/>
      <c r="D27" s="27"/>
      <c r="E27" s="27"/>
      <c r="F27" s="27"/>
      <c r="G27" s="27"/>
      <c r="H27" s="27"/>
      <c r="I27" s="27"/>
    </row>
    <row r="28" spans="1:9" x14ac:dyDescent="0.35">
      <c r="A28" s="1"/>
      <c r="B28" s="1"/>
      <c r="C28" s="1"/>
      <c r="D28" s="27"/>
      <c r="E28" s="27"/>
      <c r="F28" s="27"/>
      <c r="G28" s="27"/>
      <c r="H28" s="27"/>
      <c r="I28" s="27"/>
    </row>
    <row r="29" spans="1:9" x14ac:dyDescent="0.35">
      <c r="A29" s="1"/>
      <c r="B29" s="1"/>
      <c r="C29" s="1"/>
      <c r="D29" s="27"/>
      <c r="E29" s="27"/>
      <c r="F29" s="27"/>
      <c r="G29" s="27"/>
      <c r="H29" s="27"/>
      <c r="I29" s="27"/>
    </row>
    <row r="30" spans="1:9" x14ac:dyDescent="0.35">
      <c r="A30" s="1"/>
      <c r="B30" s="1"/>
      <c r="C30" s="1"/>
      <c r="D30" s="27"/>
      <c r="E30" s="27"/>
      <c r="F30" s="27"/>
      <c r="G30" s="27"/>
      <c r="H30" s="27"/>
      <c r="I30" s="27"/>
    </row>
    <row r="31" spans="1:9" x14ac:dyDescent="0.35">
      <c r="A31" s="1"/>
      <c r="B31" s="1"/>
      <c r="C31" s="1"/>
      <c r="D31" s="27"/>
      <c r="E31" s="27"/>
      <c r="F31" s="27"/>
      <c r="G31" s="27"/>
      <c r="H31" s="27"/>
      <c r="I31" s="27"/>
    </row>
  </sheetData>
  <mergeCells count="9">
    <mergeCell ref="A1:H1"/>
    <mergeCell ref="E19:H19"/>
    <mergeCell ref="E17:H17"/>
    <mergeCell ref="E18:H18"/>
    <mergeCell ref="A2:H2"/>
    <mergeCell ref="E20:H20"/>
    <mergeCell ref="E16:H16"/>
    <mergeCell ref="E15:H15"/>
    <mergeCell ref="D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showGridLines="0" workbookViewId="0">
      <selection activeCell="D11" sqref="D11"/>
    </sheetView>
  </sheetViews>
  <sheetFormatPr defaultRowHeight="14.5" x14ac:dyDescent="0.35"/>
  <cols>
    <col min="1" max="1" width="21.7265625" customWidth="1"/>
    <col min="2" max="2" width="12" customWidth="1"/>
    <col min="3" max="3" width="14.54296875" customWidth="1"/>
    <col min="4" max="4" width="58" customWidth="1"/>
    <col min="5" max="5" width="48" customWidth="1"/>
    <col min="6" max="6" width="18" customWidth="1"/>
    <col min="7" max="7" width="25" customWidth="1"/>
    <col min="8" max="8" width="45" customWidth="1"/>
    <col min="9" max="9" width="16" customWidth="1"/>
  </cols>
  <sheetData>
    <row r="1" spans="1:9" ht="30" customHeight="1" x14ac:dyDescent="0.35">
      <c r="A1" s="30" t="s">
        <v>67</v>
      </c>
      <c r="B1" s="29"/>
      <c r="C1" s="29"/>
      <c r="D1" s="29"/>
      <c r="E1" s="29"/>
      <c r="F1" s="29"/>
      <c r="G1" s="29"/>
      <c r="H1" s="29"/>
      <c r="I1" s="29"/>
    </row>
    <row r="2" spans="1:9" x14ac:dyDescent="0.35">
      <c r="A2" s="28" t="s">
        <v>68</v>
      </c>
      <c r="B2" s="29"/>
      <c r="C2" s="29"/>
      <c r="D2" s="29"/>
      <c r="E2" s="29"/>
      <c r="F2" s="29"/>
      <c r="G2" s="29"/>
      <c r="H2" s="29"/>
      <c r="I2" s="29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5" t="s">
        <v>5</v>
      </c>
      <c r="B4" s="5" t="s">
        <v>6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73</v>
      </c>
      <c r="H4" s="5" t="s">
        <v>74</v>
      </c>
      <c r="I4" s="5" t="s">
        <v>8</v>
      </c>
    </row>
    <row r="5" spans="1:9" ht="29" customHeight="1" x14ac:dyDescent="0.35">
      <c r="A5" s="3" t="s">
        <v>12</v>
      </c>
      <c r="B5" s="3" t="s">
        <v>13</v>
      </c>
      <c r="C5" s="3" t="s">
        <v>75</v>
      </c>
      <c r="D5" s="3" t="s">
        <v>14</v>
      </c>
      <c r="E5" s="3" t="s">
        <v>76</v>
      </c>
      <c r="F5" s="3" t="s">
        <v>77</v>
      </c>
      <c r="G5" s="3" t="s">
        <v>78</v>
      </c>
      <c r="H5" s="3" t="s">
        <v>79</v>
      </c>
      <c r="I5" s="3" t="s">
        <v>15</v>
      </c>
    </row>
    <row r="6" spans="1:9" ht="29" customHeight="1" x14ac:dyDescent="0.35">
      <c r="A6" s="3" t="s">
        <v>19</v>
      </c>
      <c r="B6" s="3" t="s">
        <v>20</v>
      </c>
      <c r="C6" s="3" t="s">
        <v>80</v>
      </c>
      <c r="D6" s="3" t="s">
        <v>21</v>
      </c>
      <c r="E6" s="3" t="s">
        <v>81</v>
      </c>
      <c r="F6" s="3" t="s">
        <v>82</v>
      </c>
      <c r="G6" s="3" t="s">
        <v>78</v>
      </c>
      <c r="H6" s="3" t="s">
        <v>79</v>
      </c>
      <c r="I6" s="3" t="s">
        <v>15</v>
      </c>
    </row>
    <row r="7" spans="1:9" x14ac:dyDescent="0.35">
      <c r="A7" s="3" t="s">
        <v>25</v>
      </c>
      <c r="B7" s="3" t="s">
        <v>26</v>
      </c>
      <c r="C7" s="3" t="s">
        <v>83</v>
      </c>
      <c r="D7" s="3" t="s">
        <v>27</v>
      </c>
      <c r="E7" s="3" t="s">
        <v>84</v>
      </c>
      <c r="F7" s="3" t="s">
        <v>85</v>
      </c>
      <c r="G7" s="3" t="s">
        <v>78</v>
      </c>
      <c r="H7" s="3" t="s">
        <v>79</v>
      </c>
      <c r="I7" s="3" t="s">
        <v>15</v>
      </c>
    </row>
    <row r="8" spans="1:9" ht="29" x14ac:dyDescent="0.35">
      <c r="A8" s="3" t="s">
        <v>31</v>
      </c>
      <c r="B8" s="3" t="s">
        <v>32</v>
      </c>
      <c r="C8" s="3" t="s">
        <v>86</v>
      </c>
      <c r="D8" s="3" t="s">
        <v>33</v>
      </c>
      <c r="E8" s="3" t="s">
        <v>87</v>
      </c>
      <c r="F8" s="3" t="s">
        <v>88</v>
      </c>
      <c r="G8" s="3" t="s">
        <v>89</v>
      </c>
      <c r="H8" s="3" t="s">
        <v>79</v>
      </c>
      <c r="I8" s="3" t="s">
        <v>15</v>
      </c>
    </row>
    <row r="9" spans="1:9" ht="29" x14ac:dyDescent="0.35">
      <c r="A9" s="3" t="s">
        <v>37</v>
      </c>
      <c r="B9" s="3" t="s">
        <v>38</v>
      </c>
      <c r="C9" s="3" t="s">
        <v>90</v>
      </c>
      <c r="D9" s="3" t="s">
        <v>39</v>
      </c>
      <c r="E9" s="3" t="s">
        <v>91</v>
      </c>
      <c r="F9" s="3" t="s">
        <v>92</v>
      </c>
      <c r="G9" s="3" t="s">
        <v>93</v>
      </c>
      <c r="H9" s="3" t="s">
        <v>79</v>
      </c>
      <c r="I9" s="3" t="s">
        <v>15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8"/>
  <sheetViews>
    <sheetView showGridLines="0" workbookViewId="0">
      <pane xSplit="4" ySplit="4" topLeftCell="E20" activePane="bottomRight" state="frozen"/>
      <selection pane="topRight"/>
      <selection pane="bottomLeft"/>
      <selection pane="bottomRight" activeCell="D12" sqref="D12"/>
    </sheetView>
  </sheetViews>
  <sheetFormatPr defaultRowHeight="14.5" x14ac:dyDescent="0.35"/>
  <cols>
    <col min="1" max="1" width="9" customWidth="1"/>
    <col min="2" max="2" width="28" customWidth="1"/>
    <col min="3" max="3" width="15" customWidth="1"/>
    <col min="4" max="4" width="22" customWidth="1"/>
    <col min="5" max="5" width="60" customWidth="1"/>
    <col min="6" max="6" width="25" customWidth="1"/>
    <col min="7" max="7" width="12" customWidth="1"/>
    <col min="8" max="10" width="10" customWidth="1"/>
    <col min="11" max="11" width="24" customWidth="1"/>
    <col min="12" max="12" width="12" customWidth="1"/>
    <col min="13" max="13" width="15" customWidth="1"/>
    <col min="14" max="14" width="50" customWidth="1"/>
    <col min="15" max="16" width="12" customWidth="1"/>
    <col min="17" max="17" width="14" customWidth="1"/>
    <col min="18" max="18" width="18" customWidth="1"/>
    <col min="19" max="19" width="17" customWidth="1"/>
    <col min="20" max="20" width="15" customWidth="1"/>
    <col min="21" max="21" width="45" customWidth="1"/>
  </cols>
  <sheetData>
    <row r="1" spans="1:21" ht="30" customHeight="1" x14ac:dyDescent="0.35">
      <c r="A1" s="30" t="s">
        <v>94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x14ac:dyDescent="0.35">
      <c r="A2" s="28" t="s">
        <v>95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5">
      <c r="A4" s="6" t="s">
        <v>96</v>
      </c>
      <c r="B4" s="7" t="s">
        <v>5</v>
      </c>
      <c r="C4" s="7" t="s">
        <v>97</v>
      </c>
      <c r="D4" s="7" t="s">
        <v>98</v>
      </c>
      <c r="E4" s="7" t="s">
        <v>99</v>
      </c>
      <c r="F4" s="7" t="s">
        <v>100</v>
      </c>
      <c r="G4" s="7" t="s">
        <v>101</v>
      </c>
      <c r="H4" s="7" t="s">
        <v>102</v>
      </c>
      <c r="I4" s="7" t="s">
        <v>103</v>
      </c>
      <c r="J4" s="7" t="s">
        <v>104</v>
      </c>
      <c r="K4" s="7" t="s">
        <v>105</v>
      </c>
      <c r="L4" s="7" t="s">
        <v>106</v>
      </c>
      <c r="M4" s="7" t="s">
        <v>107</v>
      </c>
      <c r="N4" s="7" t="s">
        <v>108</v>
      </c>
      <c r="O4" s="7" t="s">
        <v>109</v>
      </c>
      <c r="P4" s="7" t="s">
        <v>110</v>
      </c>
      <c r="Q4" s="7" t="s">
        <v>111</v>
      </c>
      <c r="R4" s="7" t="s">
        <v>112</v>
      </c>
      <c r="S4" s="7" t="s">
        <v>113</v>
      </c>
      <c r="T4" s="7" t="s">
        <v>114</v>
      </c>
      <c r="U4" s="8" t="s">
        <v>115</v>
      </c>
    </row>
    <row r="5" spans="1:21" x14ac:dyDescent="0.35">
      <c r="A5" s="9" t="s">
        <v>116</v>
      </c>
      <c r="B5" s="3" t="s">
        <v>117</v>
      </c>
      <c r="C5" s="3" t="s">
        <v>118</v>
      </c>
      <c r="D5" s="3" t="s">
        <v>119</v>
      </c>
      <c r="E5" s="3" t="s">
        <v>120</v>
      </c>
      <c r="F5" s="3" t="s">
        <v>121</v>
      </c>
      <c r="G5" s="3" t="s">
        <v>122</v>
      </c>
      <c r="H5" s="3">
        <v>1</v>
      </c>
      <c r="I5" s="3">
        <v>1</v>
      </c>
      <c r="J5" s="3">
        <v>1</v>
      </c>
      <c r="K5" s="3"/>
      <c r="L5" s="3" t="s">
        <v>123</v>
      </c>
      <c r="M5" s="3" t="s">
        <v>124</v>
      </c>
      <c r="N5" s="3" t="s">
        <v>125</v>
      </c>
      <c r="O5" s="3">
        <v>0</v>
      </c>
      <c r="P5" s="3" t="s">
        <v>126</v>
      </c>
      <c r="Q5" s="3"/>
      <c r="R5" s="3"/>
      <c r="S5" s="3"/>
      <c r="T5" s="3" t="str">
        <f t="shared" ref="T5:T36" si="0">IF(S5&lt;&gt;"",S5-J5,IF(R5&lt;&gt;"",R5-J5,""))</f>
        <v/>
      </c>
      <c r="U5" s="10"/>
    </row>
    <row r="6" spans="1:21" x14ac:dyDescent="0.35">
      <c r="A6" s="9" t="s">
        <v>116</v>
      </c>
      <c r="B6" s="3" t="s">
        <v>117</v>
      </c>
      <c r="C6" s="3" t="s">
        <v>127</v>
      </c>
      <c r="D6" s="3" t="s">
        <v>119</v>
      </c>
      <c r="E6" s="3" t="s">
        <v>128</v>
      </c>
      <c r="F6" s="3" t="s">
        <v>121</v>
      </c>
      <c r="G6" s="3" t="s">
        <v>122</v>
      </c>
      <c r="H6" s="3">
        <v>1</v>
      </c>
      <c r="I6" s="3">
        <v>1</v>
      </c>
      <c r="J6" s="3">
        <v>1</v>
      </c>
      <c r="K6" s="3" t="s">
        <v>118</v>
      </c>
      <c r="L6" s="3" t="s">
        <v>123</v>
      </c>
      <c r="M6" s="3" t="s">
        <v>124</v>
      </c>
      <c r="N6" s="3" t="s">
        <v>129</v>
      </c>
      <c r="O6" s="3">
        <v>0</v>
      </c>
      <c r="P6" s="3" t="s">
        <v>126</v>
      </c>
      <c r="Q6" s="3"/>
      <c r="R6" s="3"/>
      <c r="S6" s="3"/>
      <c r="T6" s="3" t="str">
        <f t="shared" si="0"/>
        <v/>
      </c>
      <c r="U6" s="10"/>
    </row>
    <row r="7" spans="1:21" x14ac:dyDescent="0.35">
      <c r="A7" s="9" t="s">
        <v>130</v>
      </c>
      <c r="B7" s="3" t="s">
        <v>117</v>
      </c>
      <c r="C7" s="3" t="s">
        <v>131</v>
      </c>
      <c r="D7" s="3" t="s">
        <v>119</v>
      </c>
      <c r="E7" s="3" t="s">
        <v>132</v>
      </c>
      <c r="F7" s="3" t="s">
        <v>121</v>
      </c>
      <c r="G7" s="3" t="s">
        <v>133</v>
      </c>
      <c r="H7" s="3">
        <v>1</v>
      </c>
      <c r="I7" s="3">
        <v>16</v>
      </c>
      <c r="J7" s="3">
        <v>16</v>
      </c>
      <c r="K7" s="3" t="s">
        <v>118</v>
      </c>
      <c r="L7" s="3" t="s">
        <v>123</v>
      </c>
      <c r="M7" s="3" t="s">
        <v>124</v>
      </c>
      <c r="N7" s="3" t="s">
        <v>134</v>
      </c>
      <c r="O7" s="3">
        <v>0</v>
      </c>
      <c r="P7" s="3" t="s">
        <v>126</v>
      </c>
      <c r="Q7" s="3"/>
      <c r="R7" s="3"/>
      <c r="S7" s="3"/>
      <c r="T7" s="3" t="str">
        <f t="shared" si="0"/>
        <v/>
      </c>
      <c r="U7" s="10"/>
    </row>
    <row r="8" spans="1:21" x14ac:dyDescent="0.35">
      <c r="A8" s="9" t="s">
        <v>130</v>
      </c>
      <c r="B8" s="3" t="s">
        <v>117</v>
      </c>
      <c r="C8" s="3" t="s">
        <v>135</v>
      </c>
      <c r="D8" s="3" t="s">
        <v>119</v>
      </c>
      <c r="E8" s="3" t="s">
        <v>136</v>
      </c>
      <c r="F8" s="3" t="s">
        <v>137</v>
      </c>
      <c r="G8" s="3" t="s">
        <v>133</v>
      </c>
      <c r="H8" s="3">
        <v>4</v>
      </c>
      <c r="I8" s="3">
        <v>13</v>
      </c>
      <c r="J8" s="3">
        <v>16</v>
      </c>
      <c r="K8" s="3" t="s">
        <v>118</v>
      </c>
      <c r="L8" s="3" t="s">
        <v>123</v>
      </c>
      <c r="M8" s="3" t="s">
        <v>124</v>
      </c>
      <c r="N8" s="3" t="s">
        <v>138</v>
      </c>
      <c r="O8" s="3">
        <v>0</v>
      </c>
      <c r="P8" s="3" t="s">
        <v>126</v>
      </c>
      <c r="Q8" s="3"/>
      <c r="R8" s="3"/>
      <c r="S8" s="3"/>
      <c r="T8" s="3" t="str">
        <f t="shared" si="0"/>
        <v/>
      </c>
      <c r="U8" s="10"/>
    </row>
    <row r="9" spans="1:21" x14ac:dyDescent="0.35">
      <c r="A9" s="9" t="s">
        <v>116</v>
      </c>
      <c r="B9" s="3" t="s">
        <v>12</v>
      </c>
      <c r="C9" s="3" t="s">
        <v>139</v>
      </c>
      <c r="D9" s="3" t="s">
        <v>140</v>
      </c>
      <c r="E9" s="3" t="s">
        <v>141</v>
      </c>
      <c r="F9" s="3" t="s">
        <v>142</v>
      </c>
      <c r="G9" s="3" t="s">
        <v>122</v>
      </c>
      <c r="H9" s="3">
        <v>1</v>
      </c>
      <c r="I9" s="3">
        <v>1</v>
      </c>
      <c r="J9" s="3">
        <v>1</v>
      </c>
      <c r="K9" s="3" t="s">
        <v>118</v>
      </c>
      <c r="L9" s="3" t="s">
        <v>143</v>
      </c>
      <c r="M9" s="3" t="s">
        <v>124</v>
      </c>
      <c r="N9" s="3" t="s">
        <v>144</v>
      </c>
      <c r="O9" s="3">
        <v>0</v>
      </c>
      <c r="P9" s="3" t="s">
        <v>126</v>
      </c>
      <c r="Q9" s="3"/>
      <c r="R9" s="3"/>
      <c r="S9" s="3"/>
      <c r="T9" s="3" t="str">
        <f t="shared" si="0"/>
        <v/>
      </c>
      <c r="U9" s="10"/>
    </row>
    <row r="10" spans="1:21" x14ac:dyDescent="0.35">
      <c r="A10" s="9" t="s">
        <v>116</v>
      </c>
      <c r="B10" s="3" t="s">
        <v>12</v>
      </c>
      <c r="C10" s="3" t="s">
        <v>145</v>
      </c>
      <c r="D10" s="3" t="s">
        <v>146</v>
      </c>
      <c r="E10" s="3" t="s">
        <v>147</v>
      </c>
      <c r="F10" s="3" t="s">
        <v>148</v>
      </c>
      <c r="G10" s="3" t="s">
        <v>122</v>
      </c>
      <c r="H10" s="3">
        <v>1</v>
      </c>
      <c r="I10" s="3">
        <v>2</v>
      </c>
      <c r="J10" s="3">
        <v>2</v>
      </c>
      <c r="K10" s="3" t="s">
        <v>139</v>
      </c>
      <c r="L10" s="3" t="s">
        <v>123</v>
      </c>
      <c r="M10" s="3" t="s">
        <v>124</v>
      </c>
      <c r="N10" s="3" t="s">
        <v>149</v>
      </c>
      <c r="O10" s="3">
        <v>0</v>
      </c>
      <c r="P10" s="3" t="s">
        <v>126</v>
      </c>
      <c r="Q10" s="3"/>
      <c r="R10" s="3"/>
      <c r="S10" s="3"/>
      <c r="T10" s="3" t="str">
        <f t="shared" si="0"/>
        <v/>
      </c>
      <c r="U10" s="10"/>
    </row>
    <row r="11" spans="1:21" ht="29" customHeight="1" x14ac:dyDescent="0.35">
      <c r="A11" s="9" t="s">
        <v>116</v>
      </c>
      <c r="B11" s="3" t="s">
        <v>12</v>
      </c>
      <c r="C11" s="3" t="s">
        <v>150</v>
      </c>
      <c r="D11" s="3" t="s">
        <v>151</v>
      </c>
      <c r="E11" s="3" t="s">
        <v>152</v>
      </c>
      <c r="F11" s="3" t="s">
        <v>153</v>
      </c>
      <c r="G11" s="3" t="s">
        <v>122</v>
      </c>
      <c r="H11" s="3">
        <v>1</v>
      </c>
      <c r="I11" s="3">
        <v>2</v>
      </c>
      <c r="J11" s="3">
        <v>2</v>
      </c>
      <c r="K11" s="3" t="s">
        <v>139</v>
      </c>
      <c r="L11" s="3" t="s">
        <v>143</v>
      </c>
      <c r="M11" s="3" t="s">
        <v>124</v>
      </c>
      <c r="N11" s="3" t="s">
        <v>154</v>
      </c>
      <c r="O11" s="3">
        <v>0</v>
      </c>
      <c r="P11" s="3" t="s">
        <v>126</v>
      </c>
      <c r="Q11" s="3"/>
      <c r="R11" s="3"/>
      <c r="S11" s="3"/>
      <c r="T11" s="3" t="str">
        <f t="shared" si="0"/>
        <v/>
      </c>
      <c r="U11" s="10"/>
    </row>
    <row r="12" spans="1:21" ht="29" customHeight="1" x14ac:dyDescent="0.35">
      <c r="A12" s="9" t="s">
        <v>116</v>
      </c>
      <c r="B12" s="3" t="s">
        <v>12</v>
      </c>
      <c r="C12" s="3" t="s">
        <v>155</v>
      </c>
      <c r="D12" s="3" t="s">
        <v>156</v>
      </c>
      <c r="E12" s="3" t="s">
        <v>157</v>
      </c>
      <c r="F12" s="3" t="s">
        <v>158</v>
      </c>
      <c r="G12" s="3" t="s">
        <v>122</v>
      </c>
      <c r="H12" s="3">
        <v>1</v>
      </c>
      <c r="I12" s="3">
        <v>2</v>
      </c>
      <c r="J12" s="3">
        <v>2</v>
      </c>
      <c r="K12" s="3" t="s">
        <v>150</v>
      </c>
      <c r="L12" s="3" t="s">
        <v>143</v>
      </c>
      <c r="M12" s="3" t="s">
        <v>124</v>
      </c>
      <c r="N12" s="3" t="s">
        <v>159</v>
      </c>
      <c r="O12" s="3">
        <v>0</v>
      </c>
      <c r="P12" s="3" t="s">
        <v>126</v>
      </c>
      <c r="Q12" s="3"/>
      <c r="R12" s="3"/>
      <c r="S12" s="3"/>
      <c r="T12" s="3" t="str">
        <f t="shared" si="0"/>
        <v/>
      </c>
      <c r="U12" s="10"/>
    </row>
    <row r="13" spans="1:21" x14ac:dyDescent="0.35">
      <c r="A13" s="9" t="s">
        <v>116</v>
      </c>
      <c r="B13" s="3" t="s">
        <v>12</v>
      </c>
      <c r="C13" s="3" t="s">
        <v>160</v>
      </c>
      <c r="D13" s="3" t="s">
        <v>161</v>
      </c>
      <c r="E13" s="3" t="s">
        <v>162</v>
      </c>
      <c r="F13" s="3" t="s">
        <v>142</v>
      </c>
      <c r="G13" s="3" t="s">
        <v>122</v>
      </c>
      <c r="H13" s="3">
        <v>1</v>
      </c>
      <c r="I13" s="3">
        <v>1</v>
      </c>
      <c r="J13" s="3">
        <v>1</v>
      </c>
      <c r="K13" s="3" t="s">
        <v>139</v>
      </c>
      <c r="L13" s="3" t="s">
        <v>123</v>
      </c>
      <c r="M13" s="3" t="s">
        <v>124</v>
      </c>
      <c r="N13" s="3" t="s">
        <v>163</v>
      </c>
      <c r="O13" s="3">
        <v>0</v>
      </c>
      <c r="P13" s="3" t="s">
        <v>126</v>
      </c>
      <c r="Q13" s="3"/>
      <c r="R13" s="3"/>
      <c r="S13" s="3"/>
      <c r="T13" s="3" t="str">
        <f t="shared" si="0"/>
        <v/>
      </c>
      <c r="U13" s="10"/>
    </row>
    <row r="14" spans="1:21" x14ac:dyDescent="0.35">
      <c r="A14" s="9" t="s">
        <v>116</v>
      </c>
      <c r="B14" s="3" t="s">
        <v>12</v>
      </c>
      <c r="C14" s="3" t="s">
        <v>164</v>
      </c>
      <c r="D14" s="3" t="s">
        <v>165</v>
      </c>
      <c r="E14" s="3" t="s">
        <v>166</v>
      </c>
      <c r="F14" s="3" t="s">
        <v>167</v>
      </c>
      <c r="G14" s="3" t="s">
        <v>122</v>
      </c>
      <c r="H14" s="3">
        <v>1</v>
      </c>
      <c r="I14" s="3">
        <v>2</v>
      </c>
      <c r="J14" s="3">
        <v>2</v>
      </c>
      <c r="K14" s="3" t="s">
        <v>145</v>
      </c>
      <c r="L14" s="3" t="s">
        <v>143</v>
      </c>
      <c r="M14" s="3" t="s">
        <v>124</v>
      </c>
      <c r="N14" s="3" t="s">
        <v>168</v>
      </c>
      <c r="O14" s="3">
        <v>0</v>
      </c>
      <c r="P14" s="3" t="s">
        <v>126</v>
      </c>
      <c r="Q14" s="3"/>
      <c r="R14" s="3"/>
      <c r="S14" s="3"/>
      <c r="T14" s="3" t="str">
        <f t="shared" si="0"/>
        <v/>
      </c>
      <c r="U14" s="10"/>
    </row>
    <row r="15" spans="1:21" ht="29" customHeight="1" x14ac:dyDescent="0.35">
      <c r="A15" s="9" t="s">
        <v>116</v>
      </c>
      <c r="B15" s="3" t="s">
        <v>12</v>
      </c>
      <c r="C15" s="3" t="s">
        <v>169</v>
      </c>
      <c r="D15" s="3" t="s">
        <v>170</v>
      </c>
      <c r="E15" s="3" t="s">
        <v>171</v>
      </c>
      <c r="F15" s="3" t="s">
        <v>172</v>
      </c>
      <c r="G15" s="3" t="s">
        <v>122</v>
      </c>
      <c r="H15" s="3">
        <v>2</v>
      </c>
      <c r="I15" s="3">
        <v>1</v>
      </c>
      <c r="J15" s="3">
        <v>2</v>
      </c>
      <c r="K15" s="3" t="s">
        <v>155</v>
      </c>
      <c r="L15" s="3" t="s">
        <v>143</v>
      </c>
      <c r="M15" s="3" t="s">
        <v>124</v>
      </c>
      <c r="N15" s="3" t="s">
        <v>173</v>
      </c>
      <c r="O15" s="3">
        <v>0</v>
      </c>
      <c r="P15" s="3" t="s">
        <v>126</v>
      </c>
      <c r="Q15" s="3"/>
      <c r="R15" s="3"/>
      <c r="S15" s="3"/>
      <c r="T15" s="3" t="str">
        <f t="shared" si="0"/>
        <v/>
      </c>
      <c r="U15" s="10"/>
    </row>
    <row r="16" spans="1:21" x14ac:dyDescent="0.35">
      <c r="A16" s="9" t="s">
        <v>116</v>
      </c>
      <c r="B16" s="3" t="s">
        <v>12</v>
      </c>
      <c r="C16" s="3" t="s">
        <v>174</v>
      </c>
      <c r="D16" s="3" t="s">
        <v>151</v>
      </c>
      <c r="E16" s="3" t="s">
        <v>175</v>
      </c>
      <c r="F16" s="3" t="s">
        <v>153</v>
      </c>
      <c r="G16" s="3" t="s">
        <v>122</v>
      </c>
      <c r="H16" s="3">
        <v>2</v>
      </c>
      <c r="I16" s="3">
        <v>1</v>
      </c>
      <c r="J16" s="3">
        <v>2</v>
      </c>
      <c r="K16" s="3" t="s">
        <v>176</v>
      </c>
      <c r="L16" s="3" t="s">
        <v>123</v>
      </c>
      <c r="M16" s="3" t="s">
        <v>124</v>
      </c>
      <c r="N16" s="3" t="s">
        <v>177</v>
      </c>
      <c r="O16" s="3">
        <v>0</v>
      </c>
      <c r="P16" s="3" t="s">
        <v>126</v>
      </c>
      <c r="Q16" s="3"/>
      <c r="R16" s="3"/>
      <c r="S16" s="3"/>
      <c r="T16" s="3" t="str">
        <f t="shared" si="0"/>
        <v/>
      </c>
      <c r="U16" s="10"/>
    </row>
    <row r="17" spans="1:21" x14ac:dyDescent="0.35">
      <c r="A17" s="11" t="s">
        <v>116</v>
      </c>
      <c r="B17" s="12" t="s">
        <v>12</v>
      </c>
      <c r="C17" s="12" t="s">
        <v>178</v>
      </c>
      <c r="D17" s="12" t="s">
        <v>119</v>
      </c>
      <c r="E17" s="12" t="s">
        <v>179</v>
      </c>
      <c r="F17" s="12" t="s">
        <v>78</v>
      </c>
      <c r="G17" s="12" t="s">
        <v>180</v>
      </c>
      <c r="H17" s="12">
        <v>2</v>
      </c>
      <c r="I17" s="12">
        <v>1</v>
      </c>
      <c r="J17" s="12">
        <v>2</v>
      </c>
      <c r="K17" s="12" t="s">
        <v>181</v>
      </c>
      <c r="L17" s="12" t="s">
        <v>143</v>
      </c>
      <c r="M17" s="12" t="s">
        <v>124</v>
      </c>
      <c r="N17" s="12" t="s">
        <v>182</v>
      </c>
      <c r="O17" s="12">
        <v>0</v>
      </c>
      <c r="P17" s="12" t="s">
        <v>126</v>
      </c>
      <c r="Q17" s="12"/>
      <c r="R17" s="12"/>
      <c r="S17" s="12"/>
      <c r="T17" s="12" t="str">
        <f t="shared" si="0"/>
        <v/>
      </c>
      <c r="U17" s="13"/>
    </row>
    <row r="18" spans="1:21" x14ac:dyDescent="0.35">
      <c r="A18" s="11" t="s">
        <v>116</v>
      </c>
      <c r="B18" s="12" t="s">
        <v>12</v>
      </c>
      <c r="C18" s="12" t="s">
        <v>77</v>
      </c>
      <c r="D18" s="12" t="s">
        <v>119</v>
      </c>
      <c r="E18" s="12" t="s">
        <v>183</v>
      </c>
      <c r="F18" s="12" t="s">
        <v>78</v>
      </c>
      <c r="G18" s="12" t="s">
        <v>180</v>
      </c>
      <c r="H18" s="12">
        <v>2</v>
      </c>
      <c r="I18" s="12">
        <v>1</v>
      </c>
      <c r="J18" s="12">
        <v>2</v>
      </c>
      <c r="K18" s="12" t="s">
        <v>178</v>
      </c>
      <c r="L18" s="12" t="s">
        <v>143</v>
      </c>
      <c r="M18" s="12" t="s">
        <v>124</v>
      </c>
      <c r="N18" s="12" t="s">
        <v>184</v>
      </c>
      <c r="O18" s="12">
        <v>0</v>
      </c>
      <c r="P18" s="12" t="s">
        <v>126</v>
      </c>
      <c r="Q18" s="12"/>
      <c r="R18" s="12"/>
      <c r="S18" s="12"/>
      <c r="T18" s="12" t="str">
        <f t="shared" si="0"/>
        <v/>
      </c>
      <c r="U18" s="13"/>
    </row>
    <row r="19" spans="1:21" x14ac:dyDescent="0.35">
      <c r="A19" s="9" t="s">
        <v>116</v>
      </c>
      <c r="B19" s="3" t="s">
        <v>19</v>
      </c>
      <c r="C19" s="3" t="s">
        <v>185</v>
      </c>
      <c r="D19" s="3" t="s">
        <v>186</v>
      </c>
      <c r="E19" s="3" t="s">
        <v>187</v>
      </c>
      <c r="F19" s="3" t="s">
        <v>188</v>
      </c>
      <c r="G19" s="3" t="s">
        <v>122</v>
      </c>
      <c r="H19" s="3">
        <v>3</v>
      </c>
      <c r="I19" s="3">
        <v>1</v>
      </c>
      <c r="J19" s="3">
        <v>3</v>
      </c>
      <c r="K19" s="3" t="s">
        <v>77</v>
      </c>
      <c r="L19" s="3" t="s">
        <v>143</v>
      </c>
      <c r="M19" s="3" t="s">
        <v>124</v>
      </c>
      <c r="N19" s="3" t="s">
        <v>189</v>
      </c>
      <c r="O19" s="3">
        <v>0</v>
      </c>
      <c r="P19" s="3" t="s">
        <v>126</v>
      </c>
      <c r="Q19" s="3"/>
      <c r="R19" s="3"/>
      <c r="S19" s="3"/>
      <c r="T19" s="3" t="str">
        <f t="shared" si="0"/>
        <v/>
      </c>
      <c r="U19" s="10"/>
    </row>
    <row r="20" spans="1:21" x14ac:dyDescent="0.35">
      <c r="A20" s="9" t="s">
        <v>116</v>
      </c>
      <c r="B20" s="3" t="s">
        <v>19</v>
      </c>
      <c r="C20" s="3" t="s">
        <v>190</v>
      </c>
      <c r="D20" s="3" t="s">
        <v>191</v>
      </c>
      <c r="E20" s="3" t="s">
        <v>192</v>
      </c>
      <c r="F20" s="3" t="s">
        <v>193</v>
      </c>
      <c r="G20" s="3" t="s">
        <v>122</v>
      </c>
      <c r="H20" s="3">
        <v>3</v>
      </c>
      <c r="I20" s="3">
        <v>2</v>
      </c>
      <c r="J20" s="3">
        <v>4</v>
      </c>
      <c r="K20" s="3" t="s">
        <v>185</v>
      </c>
      <c r="L20" s="3" t="s">
        <v>143</v>
      </c>
      <c r="M20" s="3" t="s">
        <v>124</v>
      </c>
      <c r="N20" s="3" t="s">
        <v>194</v>
      </c>
      <c r="O20" s="3">
        <v>0</v>
      </c>
      <c r="P20" s="3" t="s">
        <v>126</v>
      </c>
      <c r="Q20" s="3"/>
      <c r="R20" s="3"/>
      <c r="S20" s="3"/>
      <c r="T20" s="3" t="str">
        <f t="shared" si="0"/>
        <v/>
      </c>
      <c r="U20" s="10"/>
    </row>
    <row r="21" spans="1:21" x14ac:dyDescent="0.35">
      <c r="A21" s="9" t="s">
        <v>116</v>
      </c>
      <c r="B21" s="3" t="s">
        <v>19</v>
      </c>
      <c r="C21" s="3" t="s">
        <v>195</v>
      </c>
      <c r="D21" s="3" t="s">
        <v>196</v>
      </c>
      <c r="E21" s="3" t="s">
        <v>197</v>
      </c>
      <c r="F21" s="3" t="s">
        <v>198</v>
      </c>
      <c r="G21" s="3" t="s">
        <v>122</v>
      </c>
      <c r="H21" s="3">
        <v>3</v>
      </c>
      <c r="I21" s="3">
        <v>2</v>
      </c>
      <c r="J21" s="3">
        <v>4</v>
      </c>
      <c r="K21" s="3" t="s">
        <v>185</v>
      </c>
      <c r="L21" s="3" t="s">
        <v>143</v>
      </c>
      <c r="M21" s="3" t="s">
        <v>124</v>
      </c>
      <c r="N21" s="3" t="s">
        <v>199</v>
      </c>
      <c r="O21" s="3">
        <v>0</v>
      </c>
      <c r="P21" s="3" t="s">
        <v>126</v>
      </c>
      <c r="Q21" s="3"/>
      <c r="R21" s="3"/>
      <c r="S21" s="3"/>
      <c r="T21" s="3" t="str">
        <f t="shared" si="0"/>
        <v/>
      </c>
      <c r="U21" s="10"/>
    </row>
    <row r="22" spans="1:21" x14ac:dyDescent="0.35">
      <c r="A22" s="9" t="s">
        <v>116</v>
      </c>
      <c r="B22" s="3" t="s">
        <v>19</v>
      </c>
      <c r="C22" s="3" t="s">
        <v>200</v>
      </c>
      <c r="D22" s="3" t="s">
        <v>188</v>
      </c>
      <c r="E22" s="3" t="s">
        <v>201</v>
      </c>
      <c r="F22" s="3" t="s">
        <v>188</v>
      </c>
      <c r="G22" s="3" t="s">
        <v>122</v>
      </c>
      <c r="H22" s="3">
        <v>3</v>
      </c>
      <c r="I22" s="3">
        <v>2</v>
      </c>
      <c r="J22" s="3">
        <v>4</v>
      </c>
      <c r="K22" s="3" t="s">
        <v>190</v>
      </c>
      <c r="L22" s="3" t="s">
        <v>143</v>
      </c>
      <c r="M22" s="3" t="s">
        <v>124</v>
      </c>
      <c r="N22" s="3" t="s">
        <v>202</v>
      </c>
      <c r="O22" s="3">
        <v>0</v>
      </c>
      <c r="P22" s="3" t="s">
        <v>126</v>
      </c>
      <c r="Q22" s="3"/>
      <c r="R22" s="3"/>
      <c r="S22" s="3"/>
      <c r="T22" s="3" t="str">
        <f t="shared" si="0"/>
        <v/>
      </c>
      <c r="U22" s="10"/>
    </row>
    <row r="23" spans="1:21" x14ac:dyDescent="0.35">
      <c r="A23" s="9" t="s">
        <v>116</v>
      </c>
      <c r="B23" s="3" t="s">
        <v>19</v>
      </c>
      <c r="C23" s="3" t="s">
        <v>203</v>
      </c>
      <c r="D23" s="3" t="s">
        <v>188</v>
      </c>
      <c r="E23" s="3" t="s">
        <v>204</v>
      </c>
      <c r="F23" s="3" t="s">
        <v>188</v>
      </c>
      <c r="G23" s="3" t="s">
        <v>122</v>
      </c>
      <c r="H23" s="3">
        <v>3</v>
      </c>
      <c r="I23" s="3">
        <v>2</v>
      </c>
      <c r="J23" s="3">
        <v>4</v>
      </c>
      <c r="K23" s="3" t="s">
        <v>205</v>
      </c>
      <c r="L23" s="3" t="s">
        <v>143</v>
      </c>
      <c r="M23" s="3" t="s">
        <v>124</v>
      </c>
      <c r="N23" s="3" t="s">
        <v>206</v>
      </c>
      <c r="O23" s="3">
        <v>0</v>
      </c>
      <c r="P23" s="3" t="s">
        <v>126</v>
      </c>
      <c r="Q23" s="3"/>
      <c r="R23" s="3"/>
      <c r="S23" s="3"/>
      <c r="T23" s="3" t="str">
        <f t="shared" si="0"/>
        <v/>
      </c>
      <c r="U23" s="10"/>
    </row>
    <row r="24" spans="1:21" x14ac:dyDescent="0.35">
      <c r="A24" s="9" t="s">
        <v>207</v>
      </c>
      <c r="B24" s="3" t="s">
        <v>19</v>
      </c>
      <c r="C24" s="3" t="s">
        <v>208</v>
      </c>
      <c r="D24" s="3" t="s">
        <v>188</v>
      </c>
      <c r="E24" s="3" t="s">
        <v>209</v>
      </c>
      <c r="F24" s="3" t="s">
        <v>188</v>
      </c>
      <c r="G24" s="3" t="s">
        <v>122</v>
      </c>
      <c r="H24" s="3">
        <v>4</v>
      </c>
      <c r="I24" s="3">
        <v>2</v>
      </c>
      <c r="J24" s="3">
        <v>5</v>
      </c>
      <c r="K24" s="3" t="s">
        <v>195</v>
      </c>
      <c r="L24" s="3" t="s">
        <v>123</v>
      </c>
      <c r="M24" s="3" t="s">
        <v>124</v>
      </c>
      <c r="N24" s="3" t="s">
        <v>210</v>
      </c>
      <c r="O24" s="3">
        <v>0</v>
      </c>
      <c r="P24" s="3" t="s">
        <v>126</v>
      </c>
      <c r="Q24" s="3"/>
      <c r="R24" s="3"/>
      <c r="S24" s="3"/>
      <c r="T24" s="3" t="str">
        <f t="shared" si="0"/>
        <v/>
      </c>
      <c r="U24" s="10"/>
    </row>
    <row r="25" spans="1:21" x14ac:dyDescent="0.35">
      <c r="A25" s="9" t="s">
        <v>207</v>
      </c>
      <c r="B25" s="3" t="s">
        <v>19</v>
      </c>
      <c r="C25" s="3" t="s">
        <v>211</v>
      </c>
      <c r="D25" s="3" t="s">
        <v>188</v>
      </c>
      <c r="E25" s="3" t="s">
        <v>212</v>
      </c>
      <c r="F25" s="3" t="s">
        <v>188</v>
      </c>
      <c r="G25" s="3" t="s">
        <v>122</v>
      </c>
      <c r="H25" s="3">
        <v>4</v>
      </c>
      <c r="I25" s="3">
        <v>2</v>
      </c>
      <c r="J25" s="3">
        <v>5</v>
      </c>
      <c r="K25" s="3" t="s">
        <v>213</v>
      </c>
      <c r="L25" s="3" t="s">
        <v>143</v>
      </c>
      <c r="M25" s="3" t="s">
        <v>124</v>
      </c>
      <c r="N25" s="3" t="s">
        <v>214</v>
      </c>
      <c r="O25" s="3">
        <v>0</v>
      </c>
      <c r="P25" s="3" t="s">
        <v>126</v>
      </c>
      <c r="Q25" s="3"/>
      <c r="R25" s="3"/>
      <c r="S25" s="3"/>
      <c r="T25" s="3" t="str">
        <f t="shared" si="0"/>
        <v/>
      </c>
      <c r="U25" s="10"/>
    </row>
    <row r="26" spans="1:21" x14ac:dyDescent="0.35">
      <c r="A26" s="9" t="s">
        <v>207</v>
      </c>
      <c r="B26" s="3" t="s">
        <v>19</v>
      </c>
      <c r="C26" s="3" t="s">
        <v>215</v>
      </c>
      <c r="D26" s="3" t="s">
        <v>156</v>
      </c>
      <c r="E26" s="3" t="s">
        <v>216</v>
      </c>
      <c r="F26" s="3" t="s">
        <v>217</v>
      </c>
      <c r="G26" s="3" t="s">
        <v>122</v>
      </c>
      <c r="H26" s="3">
        <v>4</v>
      </c>
      <c r="I26" s="3">
        <v>2</v>
      </c>
      <c r="J26" s="3">
        <v>5</v>
      </c>
      <c r="K26" s="3" t="s">
        <v>211</v>
      </c>
      <c r="L26" s="3" t="s">
        <v>143</v>
      </c>
      <c r="M26" s="3" t="s">
        <v>124</v>
      </c>
      <c r="N26" s="3" t="s">
        <v>218</v>
      </c>
      <c r="O26" s="3">
        <v>0</v>
      </c>
      <c r="P26" s="3" t="s">
        <v>126</v>
      </c>
      <c r="Q26" s="3"/>
      <c r="R26" s="3"/>
      <c r="S26" s="3"/>
      <c r="T26" s="3" t="str">
        <f t="shared" si="0"/>
        <v/>
      </c>
      <c r="U26" s="10"/>
    </row>
    <row r="27" spans="1:21" x14ac:dyDescent="0.35">
      <c r="A27" s="9" t="s">
        <v>207</v>
      </c>
      <c r="B27" s="3" t="s">
        <v>19</v>
      </c>
      <c r="C27" s="3" t="s">
        <v>219</v>
      </c>
      <c r="D27" s="3" t="s">
        <v>220</v>
      </c>
      <c r="E27" s="3" t="s">
        <v>221</v>
      </c>
      <c r="F27" s="3" t="s">
        <v>222</v>
      </c>
      <c r="G27" s="3" t="s">
        <v>122</v>
      </c>
      <c r="H27" s="3">
        <v>4</v>
      </c>
      <c r="I27" s="3">
        <v>2</v>
      </c>
      <c r="J27" s="3">
        <v>5</v>
      </c>
      <c r="K27" s="3" t="s">
        <v>145</v>
      </c>
      <c r="L27" s="3" t="s">
        <v>143</v>
      </c>
      <c r="M27" s="3" t="s">
        <v>124</v>
      </c>
      <c r="N27" s="3" t="s">
        <v>223</v>
      </c>
      <c r="O27" s="3">
        <v>0</v>
      </c>
      <c r="P27" s="3" t="s">
        <v>126</v>
      </c>
      <c r="Q27" s="3"/>
      <c r="R27" s="3"/>
      <c r="S27" s="3"/>
      <c r="T27" s="3" t="str">
        <f t="shared" si="0"/>
        <v/>
      </c>
      <c r="U27" s="10"/>
    </row>
    <row r="28" spans="1:21" x14ac:dyDescent="0.35">
      <c r="A28" s="9" t="s">
        <v>224</v>
      </c>
      <c r="B28" s="3" t="s">
        <v>19</v>
      </c>
      <c r="C28" s="3" t="s">
        <v>225</v>
      </c>
      <c r="D28" s="3" t="s">
        <v>220</v>
      </c>
      <c r="E28" s="3" t="s">
        <v>226</v>
      </c>
      <c r="F28" s="3" t="s">
        <v>222</v>
      </c>
      <c r="G28" s="3" t="s">
        <v>122</v>
      </c>
      <c r="H28" s="3">
        <v>5</v>
      </c>
      <c r="I28" s="3">
        <v>1</v>
      </c>
      <c r="J28" s="3">
        <v>5</v>
      </c>
      <c r="K28" s="3" t="s">
        <v>227</v>
      </c>
      <c r="L28" s="3" t="s">
        <v>143</v>
      </c>
      <c r="M28" s="3" t="s">
        <v>124</v>
      </c>
      <c r="N28" s="3" t="s">
        <v>228</v>
      </c>
      <c r="O28" s="3">
        <v>0</v>
      </c>
      <c r="P28" s="3" t="s">
        <v>126</v>
      </c>
      <c r="Q28" s="3"/>
      <c r="R28" s="3"/>
      <c r="S28" s="3"/>
      <c r="T28" s="3" t="str">
        <f t="shared" si="0"/>
        <v/>
      </c>
      <c r="U28" s="10"/>
    </row>
    <row r="29" spans="1:21" x14ac:dyDescent="0.35">
      <c r="A29" s="11" t="s">
        <v>224</v>
      </c>
      <c r="B29" s="12" t="s">
        <v>19</v>
      </c>
      <c r="C29" s="12" t="s">
        <v>82</v>
      </c>
      <c r="D29" s="12" t="s">
        <v>119</v>
      </c>
      <c r="E29" s="12" t="s">
        <v>229</v>
      </c>
      <c r="F29" s="12" t="s">
        <v>78</v>
      </c>
      <c r="G29" s="12" t="s">
        <v>180</v>
      </c>
      <c r="H29" s="12">
        <v>5</v>
      </c>
      <c r="I29" s="12">
        <v>1</v>
      </c>
      <c r="J29" s="12">
        <v>5</v>
      </c>
      <c r="K29" s="12" t="s">
        <v>225</v>
      </c>
      <c r="L29" s="12" t="s">
        <v>143</v>
      </c>
      <c r="M29" s="12" t="s">
        <v>124</v>
      </c>
      <c r="N29" s="12" t="s">
        <v>230</v>
      </c>
      <c r="O29" s="12">
        <v>0</v>
      </c>
      <c r="P29" s="12" t="s">
        <v>126</v>
      </c>
      <c r="Q29" s="12"/>
      <c r="R29" s="12"/>
      <c r="S29" s="12"/>
      <c r="T29" s="12" t="str">
        <f t="shared" si="0"/>
        <v/>
      </c>
      <c r="U29" s="13"/>
    </row>
    <row r="30" spans="1:21" x14ac:dyDescent="0.35">
      <c r="A30" s="9" t="s">
        <v>224</v>
      </c>
      <c r="B30" s="3" t="s">
        <v>25</v>
      </c>
      <c r="C30" s="3" t="s">
        <v>231</v>
      </c>
      <c r="D30" s="3" t="s">
        <v>232</v>
      </c>
      <c r="E30" s="3" t="s">
        <v>233</v>
      </c>
      <c r="F30" s="3" t="s">
        <v>142</v>
      </c>
      <c r="G30" s="3" t="s">
        <v>122</v>
      </c>
      <c r="H30" s="3">
        <v>5</v>
      </c>
      <c r="I30" s="3">
        <v>1</v>
      </c>
      <c r="J30" s="3">
        <v>5</v>
      </c>
      <c r="K30" s="3" t="s">
        <v>82</v>
      </c>
      <c r="L30" s="3" t="s">
        <v>123</v>
      </c>
      <c r="M30" s="3" t="s">
        <v>124</v>
      </c>
      <c r="N30" s="3" t="s">
        <v>234</v>
      </c>
      <c r="O30" s="3">
        <v>0</v>
      </c>
      <c r="P30" s="3" t="s">
        <v>126</v>
      </c>
      <c r="Q30" s="3"/>
      <c r="R30" s="3"/>
      <c r="S30" s="3"/>
      <c r="T30" s="3" t="str">
        <f t="shared" si="0"/>
        <v/>
      </c>
      <c r="U30" s="10"/>
    </row>
    <row r="31" spans="1:21" x14ac:dyDescent="0.35">
      <c r="A31" s="9" t="s">
        <v>224</v>
      </c>
      <c r="B31" s="3" t="s">
        <v>25</v>
      </c>
      <c r="C31" s="3" t="s">
        <v>235</v>
      </c>
      <c r="D31" s="3" t="s">
        <v>236</v>
      </c>
      <c r="E31" s="3" t="s">
        <v>237</v>
      </c>
      <c r="F31" s="3" t="s">
        <v>238</v>
      </c>
      <c r="G31" s="3" t="s">
        <v>122</v>
      </c>
      <c r="H31" s="3">
        <v>6</v>
      </c>
      <c r="I31" s="3">
        <v>1</v>
      </c>
      <c r="J31" s="3">
        <v>6</v>
      </c>
      <c r="K31" s="3" t="s">
        <v>231</v>
      </c>
      <c r="L31" s="3" t="s">
        <v>123</v>
      </c>
      <c r="M31" s="3" t="s">
        <v>124</v>
      </c>
      <c r="N31" s="3" t="s">
        <v>239</v>
      </c>
      <c r="O31" s="3">
        <v>0</v>
      </c>
      <c r="P31" s="3" t="s">
        <v>126</v>
      </c>
      <c r="Q31" s="3"/>
      <c r="R31" s="3"/>
      <c r="S31" s="3"/>
      <c r="T31" s="3" t="str">
        <f t="shared" si="0"/>
        <v/>
      </c>
      <c r="U31" s="10"/>
    </row>
    <row r="32" spans="1:21" x14ac:dyDescent="0.35">
      <c r="A32" s="9" t="s">
        <v>224</v>
      </c>
      <c r="B32" s="3" t="s">
        <v>25</v>
      </c>
      <c r="C32" s="3" t="s">
        <v>240</v>
      </c>
      <c r="D32" s="3" t="s">
        <v>241</v>
      </c>
      <c r="E32" s="3" t="s">
        <v>242</v>
      </c>
      <c r="F32" s="3" t="s">
        <v>243</v>
      </c>
      <c r="G32" s="3" t="s">
        <v>122</v>
      </c>
      <c r="H32" s="3">
        <v>6</v>
      </c>
      <c r="I32" s="3">
        <v>1</v>
      </c>
      <c r="J32" s="3">
        <v>6</v>
      </c>
      <c r="K32" s="3" t="s">
        <v>235</v>
      </c>
      <c r="L32" s="3" t="s">
        <v>143</v>
      </c>
      <c r="M32" s="3" t="s">
        <v>124</v>
      </c>
      <c r="N32" s="3" t="s">
        <v>244</v>
      </c>
      <c r="O32" s="3">
        <v>0</v>
      </c>
      <c r="P32" s="3" t="s">
        <v>126</v>
      </c>
      <c r="Q32" s="3"/>
      <c r="R32" s="3"/>
      <c r="S32" s="3"/>
      <c r="T32" s="3" t="str">
        <f t="shared" si="0"/>
        <v/>
      </c>
      <c r="U32" s="10"/>
    </row>
    <row r="33" spans="1:21" x14ac:dyDescent="0.35">
      <c r="A33" s="9" t="s">
        <v>224</v>
      </c>
      <c r="B33" s="3" t="s">
        <v>25</v>
      </c>
      <c r="C33" s="3" t="s">
        <v>245</v>
      </c>
      <c r="D33" s="3" t="s">
        <v>165</v>
      </c>
      <c r="E33" s="3" t="s">
        <v>246</v>
      </c>
      <c r="F33" s="3" t="s">
        <v>247</v>
      </c>
      <c r="G33" s="3" t="s">
        <v>133</v>
      </c>
      <c r="H33" s="3">
        <v>6</v>
      </c>
      <c r="I33" s="3">
        <v>3</v>
      </c>
      <c r="J33" s="3">
        <v>8</v>
      </c>
      <c r="K33" s="3" t="s">
        <v>240</v>
      </c>
      <c r="L33" s="3" t="s">
        <v>143</v>
      </c>
      <c r="M33" s="3" t="s">
        <v>124</v>
      </c>
      <c r="N33" s="3" t="s">
        <v>248</v>
      </c>
      <c r="O33" s="3">
        <v>0</v>
      </c>
      <c r="P33" s="3" t="s">
        <v>126</v>
      </c>
      <c r="Q33" s="3"/>
      <c r="R33" s="3"/>
      <c r="S33" s="3"/>
      <c r="T33" s="3" t="str">
        <f t="shared" si="0"/>
        <v/>
      </c>
      <c r="U33" s="10"/>
    </row>
    <row r="34" spans="1:21" x14ac:dyDescent="0.35">
      <c r="A34" s="9" t="s">
        <v>224</v>
      </c>
      <c r="B34" s="3" t="s">
        <v>25</v>
      </c>
      <c r="C34" s="3" t="s">
        <v>249</v>
      </c>
      <c r="D34" s="3" t="s">
        <v>250</v>
      </c>
      <c r="E34" s="3" t="s">
        <v>251</v>
      </c>
      <c r="F34" s="3" t="s">
        <v>252</v>
      </c>
      <c r="G34" s="3" t="s">
        <v>133</v>
      </c>
      <c r="H34" s="3">
        <v>6</v>
      </c>
      <c r="I34" s="3">
        <v>3</v>
      </c>
      <c r="J34" s="3">
        <v>8</v>
      </c>
      <c r="K34" s="3" t="s">
        <v>240</v>
      </c>
      <c r="L34" s="3" t="s">
        <v>143</v>
      </c>
      <c r="M34" s="3" t="s">
        <v>124</v>
      </c>
      <c r="N34" s="3" t="s">
        <v>253</v>
      </c>
      <c r="O34" s="3">
        <v>0</v>
      </c>
      <c r="P34" s="3" t="s">
        <v>126</v>
      </c>
      <c r="Q34" s="3"/>
      <c r="R34" s="3"/>
      <c r="S34" s="3"/>
      <c r="T34" s="3" t="str">
        <f t="shared" si="0"/>
        <v/>
      </c>
      <c r="U34" s="10"/>
    </row>
    <row r="35" spans="1:21" x14ac:dyDescent="0.35">
      <c r="A35" s="9" t="s">
        <v>224</v>
      </c>
      <c r="B35" s="3" t="s">
        <v>25</v>
      </c>
      <c r="C35" s="3" t="s">
        <v>254</v>
      </c>
      <c r="D35" s="3" t="s">
        <v>255</v>
      </c>
      <c r="E35" s="3" t="s">
        <v>256</v>
      </c>
      <c r="F35" s="3" t="s">
        <v>238</v>
      </c>
      <c r="G35" s="3" t="s">
        <v>133</v>
      </c>
      <c r="H35" s="3">
        <v>6</v>
      </c>
      <c r="I35" s="3">
        <v>3</v>
      </c>
      <c r="J35" s="3">
        <v>8</v>
      </c>
      <c r="K35" s="3" t="s">
        <v>240</v>
      </c>
      <c r="L35" s="3" t="s">
        <v>123</v>
      </c>
      <c r="M35" s="3" t="s">
        <v>124</v>
      </c>
      <c r="N35" s="3" t="s">
        <v>257</v>
      </c>
      <c r="O35" s="3">
        <v>0</v>
      </c>
      <c r="P35" s="3" t="s">
        <v>126</v>
      </c>
      <c r="Q35" s="3"/>
      <c r="R35" s="3"/>
      <c r="S35" s="3"/>
      <c r="T35" s="3" t="str">
        <f t="shared" si="0"/>
        <v/>
      </c>
      <c r="U35" s="10"/>
    </row>
    <row r="36" spans="1:21" x14ac:dyDescent="0.35">
      <c r="A36" s="9" t="s">
        <v>224</v>
      </c>
      <c r="B36" s="3" t="s">
        <v>25</v>
      </c>
      <c r="C36" s="3" t="s">
        <v>258</v>
      </c>
      <c r="D36" s="3" t="s">
        <v>241</v>
      </c>
      <c r="E36" s="3" t="s">
        <v>259</v>
      </c>
      <c r="F36" s="3" t="s">
        <v>243</v>
      </c>
      <c r="G36" s="3" t="s">
        <v>122</v>
      </c>
      <c r="H36" s="3">
        <v>7</v>
      </c>
      <c r="I36" s="3">
        <v>1</v>
      </c>
      <c r="J36" s="3">
        <v>7</v>
      </c>
      <c r="K36" s="3" t="s">
        <v>249</v>
      </c>
      <c r="L36" s="3" t="s">
        <v>143</v>
      </c>
      <c r="M36" s="3" t="s">
        <v>124</v>
      </c>
      <c r="N36" s="3" t="s">
        <v>260</v>
      </c>
      <c r="O36" s="3">
        <v>0</v>
      </c>
      <c r="P36" s="3" t="s">
        <v>126</v>
      </c>
      <c r="Q36" s="3"/>
      <c r="R36" s="3"/>
      <c r="S36" s="3"/>
      <c r="T36" s="3" t="str">
        <f t="shared" si="0"/>
        <v/>
      </c>
      <c r="U36" s="10"/>
    </row>
    <row r="37" spans="1:21" x14ac:dyDescent="0.35">
      <c r="A37" s="9" t="s">
        <v>224</v>
      </c>
      <c r="B37" s="3" t="s">
        <v>25</v>
      </c>
      <c r="C37" s="3" t="s">
        <v>261</v>
      </c>
      <c r="D37" s="3" t="s">
        <v>156</v>
      </c>
      <c r="E37" s="3" t="s">
        <v>262</v>
      </c>
      <c r="F37" s="3" t="s">
        <v>158</v>
      </c>
      <c r="G37" s="3" t="s">
        <v>122</v>
      </c>
      <c r="H37" s="3">
        <v>7</v>
      </c>
      <c r="I37" s="3">
        <v>1</v>
      </c>
      <c r="J37" s="3">
        <v>7</v>
      </c>
      <c r="K37" s="3" t="s">
        <v>258</v>
      </c>
      <c r="L37" s="3" t="s">
        <v>123</v>
      </c>
      <c r="M37" s="3" t="s">
        <v>124</v>
      </c>
      <c r="N37" s="3" t="s">
        <v>263</v>
      </c>
      <c r="O37" s="3">
        <v>0</v>
      </c>
      <c r="P37" s="3" t="s">
        <v>126</v>
      </c>
      <c r="Q37" s="3"/>
      <c r="R37" s="3"/>
      <c r="S37" s="3"/>
      <c r="T37" s="3" t="str">
        <f t="shared" ref="T37:T68" si="1">IF(S37&lt;&gt;"",S37-J37,IF(R37&lt;&gt;"",R37-J37,""))</f>
        <v/>
      </c>
      <c r="U37" s="10"/>
    </row>
    <row r="38" spans="1:21" x14ac:dyDescent="0.35">
      <c r="A38" s="9" t="s">
        <v>224</v>
      </c>
      <c r="B38" s="3" t="s">
        <v>25</v>
      </c>
      <c r="C38" s="3" t="s">
        <v>264</v>
      </c>
      <c r="D38" s="3" t="s">
        <v>119</v>
      </c>
      <c r="E38" s="3" t="s">
        <v>265</v>
      </c>
      <c r="F38" s="3" t="s">
        <v>121</v>
      </c>
      <c r="G38" s="3" t="s">
        <v>122</v>
      </c>
      <c r="H38" s="3">
        <v>8</v>
      </c>
      <c r="I38" s="3">
        <v>1</v>
      </c>
      <c r="J38" s="3">
        <v>8</v>
      </c>
      <c r="K38" s="3" t="s">
        <v>266</v>
      </c>
      <c r="L38" s="3" t="s">
        <v>123</v>
      </c>
      <c r="M38" s="3" t="s">
        <v>124</v>
      </c>
      <c r="N38" s="3" t="s">
        <v>267</v>
      </c>
      <c r="O38" s="3">
        <v>0</v>
      </c>
      <c r="P38" s="3" t="s">
        <v>126</v>
      </c>
      <c r="Q38" s="3"/>
      <c r="R38" s="3"/>
      <c r="S38" s="3"/>
      <c r="T38" s="3" t="str">
        <f t="shared" si="1"/>
        <v/>
      </c>
      <c r="U38" s="10"/>
    </row>
    <row r="39" spans="1:21" x14ac:dyDescent="0.35">
      <c r="A39" s="11" t="s">
        <v>224</v>
      </c>
      <c r="B39" s="12" t="s">
        <v>25</v>
      </c>
      <c r="C39" s="12" t="s">
        <v>85</v>
      </c>
      <c r="D39" s="12" t="s">
        <v>119</v>
      </c>
      <c r="E39" s="12" t="s">
        <v>268</v>
      </c>
      <c r="F39" s="12" t="s">
        <v>78</v>
      </c>
      <c r="G39" s="12" t="s">
        <v>180</v>
      </c>
      <c r="H39" s="12">
        <v>8</v>
      </c>
      <c r="I39" s="12">
        <v>1</v>
      </c>
      <c r="J39" s="12">
        <v>8</v>
      </c>
      <c r="K39" s="12" t="s">
        <v>269</v>
      </c>
      <c r="L39" s="12" t="s">
        <v>143</v>
      </c>
      <c r="M39" s="12" t="s">
        <v>124</v>
      </c>
      <c r="N39" s="12" t="s">
        <v>270</v>
      </c>
      <c r="O39" s="12">
        <v>0</v>
      </c>
      <c r="P39" s="12" t="s">
        <v>126</v>
      </c>
      <c r="Q39" s="12"/>
      <c r="R39" s="12"/>
      <c r="S39" s="12"/>
      <c r="T39" s="12" t="str">
        <f t="shared" si="1"/>
        <v/>
      </c>
      <c r="U39" s="13"/>
    </row>
    <row r="40" spans="1:21" x14ac:dyDescent="0.35">
      <c r="A40" s="9" t="s">
        <v>271</v>
      </c>
      <c r="B40" s="3" t="s">
        <v>31</v>
      </c>
      <c r="C40" s="3" t="s">
        <v>272</v>
      </c>
      <c r="D40" s="3" t="s">
        <v>186</v>
      </c>
      <c r="E40" s="3" t="s">
        <v>273</v>
      </c>
      <c r="F40" s="3" t="s">
        <v>252</v>
      </c>
      <c r="G40" s="3" t="s">
        <v>122</v>
      </c>
      <c r="H40" s="3">
        <v>9</v>
      </c>
      <c r="I40" s="3">
        <v>2</v>
      </c>
      <c r="J40" s="3">
        <v>10</v>
      </c>
      <c r="K40" s="3" t="s">
        <v>85</v>
      </c>
      <c r="L40" s="3" t="s">
        <v>143</v>
      </c>
      <c r="M40" s="3" t="s">
        <v>124</v>
      </c>
      <c r="N40" s="3" t="s">
        <v>274</v>
      </c>
      <c r="O40" s="3">
        <v>0</v>
      </c>
      <c r="P40" s="3" t="s">
        <v>126</v>
      </c>
      <c r="Q40" s="3"/>
      <c r="R40" s="3"/>
      <c r="S40" s="3"/>
      <c r="T40" s="3" t="str">
        <f t="shared" si="1"/>
        <v/>
      </c>
      <c r="U40" s="10"/>
    </row>
    <row r="41" spans="1:21" x14ac:dyDescent="0.35">
      <c r="A41" s="9" t="s">
        <v>271</v>
      </c>
      <c r="B41" s="3" t="s">
        <v>31</v>
      </c>
      <c r="C41" s="3" t="s">
        <v>275</v>
      </c>
      <c r="D41" s="3" t="s">
        <v>191</v>
      </c>
      <c r="E41" s="3" t="s">
        <v>276</v>
      </c>
      <c r="F41" s="3" t="s">
        <v>193</v>
      </c>
      <c r="G41" s="3" t="s">
        <v>122</v>
      </c>
      <c r="H41" s="3">
        <v>9</v>
      </c>
      <c r="I41" s="3">
        <v>2</v>
      </c>
      <c r="J41" s="3">
        <v>10</v>
      </c>
      <c r="K41" s="3" t="s">
        <v>85</v>
      </c>
      <c r="L41" s="3" t="s">
        <v>143</v>
      </c>
      <c r="M41" s="3" t="s">
        <v>124</v>
      </c>
      <c r="N41" s="3" t="s">
        <v>277</v>
      </c>
      <c r="O41" s="3">
        <v>0</v>
      </c>
      <c r="P41" s="3" t="s">
        <v>126</v>
      </c>
      <c r="Q41" s="3"/>
      <c r="R41" s="3"/>
      <c r="S41" s="3"/>
      <c r="T41" s="3" t="str">
        <f t="shared" si="1"/>
        <v/>
      </c>
      <c r="U41" s="10"/>
    </row>
    <row r="42" spans="1:21" x14ac:dyDescent="0.35">
      <c r="A42" s="9" t="s">
        <v>271</v>
      </c>
      <c r="B42" s="3" t="s">
        <v>31</v>
      </c>
      <c r="C42" s="3" t="s">
        <v>278</v>
      </c>
      <c r="D42" s="3" t="s">
        <v>156</v>
      </c>
      <c r="E42" s="3" t="s">
        <v>279</v>
      </c>
      <c r="F42" s="3" t="s">
        <v>158</v>
      </c>
      <c r="G42" s="3" t="s">
        <v>122</v>
      </c>
      <c r="H42" s="3">
        <v>9</v>
      </c>
      <c r="I42" s="3">
        <v>2</v>
      </c>
      <c r="J42" s="3">
        <v>10</v>
      </c>
      <c r="K42" s="3" t="s">
        <v>85</v>
      </c>
      <c r="L42" s="3" t="s">
        <v>143</v>
      </c>
      <c r="M42" s="3" t="s">
        <v>124</v>
      </c>
      <c r="N42" s="3" t="s">
        <v>280</v>
      </c>
      <c r="O42" s="3">
        <v>0</v>
      </c>
      <c r="P42" s="3" t="s">
        <v>126</v>
      </c>
      <c r="Q42" s="3"/>
      <c r="R42" s="3"/>
      <c r="S42" s="3"/>
      <c r="T42" s="3" t="str">
        <f t="shared" si="1"/>
        <v/>
      </c>
      <c r="U42" s="10"/>
    </row>
    <row r="43" spans="1:21" x14ac:dyDescent="0.35">
      <c r="A43" s="9" t="s">
        <v>271</v>
      </c>
      <c r="B43" s="3" t="s">
        <v>31</v>
      </c>
      <c r="C43" s="3" t="s">
        <v>281</v>
      </c>
      <c r="D43" s="3" t="s">
        <v>236</v>
      </c>
      <c r="E43" s="3" t="s">
        <v>282</v>
      </c>
      <c r="F43" s="3" t="s">
        <v>283</v>
      </c>
      <c r="G43" s="3" t="s">
        <v>122</v>
      </c>
      <c r="H43" s="3">
        <v>9</v>
      </c>
      <c r="I43" s="3">
        <v>2</v>
      </c>
      <c r="J43" s="3">
        <v>10</v>
      </c>
      <c r="K43" s="3" t="s">
        <v>85</v>
      </c>
      <c r="L43" s="3" t="s">
        <v>123</v>
      </c>
      <c r="M43" s="3" t="s">
        <v>124</v>
      </c>
      <c r="N43" s="3" t="s">
        <v>284</v>
      </c>
      <c r="O43" s="3">
        <v>0</v>
      </c>
      <c r="P43" s="3" t="s">
        <v>126</v>
      </c>
      <c r="Q43" s="3"/>
      <c r="R43" s="3"/>
      <c r="S43" s="3"/>
      <c r="T43" s="3" t="str">
        <f t="shared" si="1"/>
        <v/>
      </c>
      <c r="U43" s="10"/>
    </row>
    <row r="44" spans="1:21" x14ac:dyDescent="0.35">
      <c r="A44" s="9" t="s">
        <v>271</v>
      </c>
      <c r="B44" s="3" t="s">
        <v>31</v>
      </c>
      <c r="C44" s="3" t="s">
        <v>285</v>
      </c>
      <c r="D44" s="3" t="s">
        <v>286</v>
      </c>
      <c r="E44" s="3" t="s">
        <v>287</v>
      </c>
      <c r="F44" s="3" t="s">
        <v>243</v>
      </c>
      <c r="G44" s="3" t="s">
        <v>122</v>
      </c>
      <c r="H44" s="3">
        <v>10</v>
      </c>
      <c r="I44" s="3">
        <v>1</v>
      </c>
      <c r="J44" s="3">
        <v>10</v>
      </c>
      <c r="K44" s="3" t="s">
        <v>288</v>
      </c>
      <c r="L44" s="3" t="s">
        <v>143</v>
      </c>
      <c r="M44" s="3" t="s">
        <v>124</v>
      </c>
      <c r="N44" s="3" t="s">
        <v>289</v>
      </c>
      <c r="O44" s="3">
        <v>0</v>
      </c>
      <c r="P44" s="3" t="s">
        <v>126</v>
      </c>
      <c r="Q44" s="3"/>
      <c r="R44" s="3"/>
      <c r="S44" s="3"/>
      <c r="T44" s="3" t="str">
        <f t="shared" si="1"/>
        <v/>
      </c>
      <c r="U44" s="10"/>
    </row>
    <row r="45" spans="1:21" x14ac:dyDescent="0.35">
      <c r="A45" s="9" t="s">
        <v>271</v>
      </c>
      <c r="B45" s="3" t="s">
        <v>31</v>
      </c>
      <c r="C45" s="3" t="s">
        <v>290</v>
      </c>
      <c r="D45" s="3" t="s">
        <v>286</v>
      </c>
      <c r="E45" s="3" t="s">
        <v>291</v>
      </c>
      <c r="F45" s="3" t="s">
        <v>243</v>
      </c>
      <c r="G45" s="3" t="s">
        <v>122</v>
      </c>
      <c r="H45" s="3">
        <v>11</v>
      </c>
      <c r="I45" s="3">
        <v>1</v>
      </c>
      <c r="J45" s="3">
        <v>11</v>
      </c>
      <c r="K45" s="3" t="s">
        <v>285</v>
      </c>
      <c r="L45" s="3" t="s">
        <v>143</v>
      </c>
      <c r="M45" s="3" t="s">
        <v>124</v>
      </c>
      <c r="N45" s="3" t="s">
        <v>292</v>
      </c>
      <c r="O45" s="3">
        <v>0</v>
      </c>
      <c r="P45" s="3" t="s">
        <v>126</v>
      </c>
      <c r="Q45" s="3"/>
      <c r="R45" s="3"/>
      <c r="S45" s="3"/>
      <c r="T45" s="3" t="str">
        <f t="shared" si="1"/>
        <v/>
      </c>
      <c r="U45" s="10"/>
    </row>
    <row r="46" spans="1:21" x14ac:dyDescent="0.35">
      <c r="A46" s="9" t="s">
        <v>271</v>
      </c>
      <c r="B46" s="3" t="s">
        <v>31</v>
      </c>
      <c r="C46" s="3" t="s">
        <v>293</v>
      </c>
      <c r="D46" s="3" t="s">
        <v>241</v>
      </c>
      <c r="E46" s="3" t="s">
        <v>294</v>
      </c>
      <c r="F46" s="3" t="s">
        <v>295</v>
      </c>
      <c r="G46" s="3" t="s">
        <v>122</v>
      </c>
      <c r="H46" s="3">
        <v>10</v>
      </c>
      <c r="I46" s="3">
        <v>3</v>
      </c>
      <c r="J46" s="3">
        <v>12</v>
      </c>
      <c r="K46" s="3" t="s">
        <v>285</v>
      </c>
      <c r="L46" s="3" t="s">
        <v>143</v>
      </c>
      <c r="M46" s="3" t="s">
        <v>124</v>
      </c>
      <c r="N46" s="3" t="s">
        <v>296</v>
      </c>
      <c r="O46" s="3">
        <v>0</v>
      </c>
      <c r="P46" s="3" t="s">
        <v>126</v>
      </c>
      <c r="Q46" s="3"/>
      <c r="R46" s="3"/>
      <c r="S46" s="3"/>
      <c r="T46" s="3" t="str">
        <f t="shared" si="1"/>
        <v/>
      </c>
      <c r="U46" s="10"/>
    </row>
    <row r="47" spans="1:21" x14ac:dyDescent="0.35">
      <c r="A47" s="9" t="s">
        <v>271</v>
      </c>
      <c r="B47" s="3" t="s">
        <v>31</v>
      </c>
      <c r="C47" s="3" t="s">
        <v>297</v>
      </c>
      <c r="D47" s="3" t="s">
        <v>165</v>
      </c>
      <c r="E47" s="3" t="s">
        <v>298</v>
      </c>
      <c r="F47" s="3" t="s">
        <v>247</v>
      </c>
      <c r="G47" s="3" t="s">
        <v>122</v>
      </c>
      <c r="H47" s="3">
        <v>11</v>
      </c>
      <c r="I47" s="3">
        <v>2</v>
      </c>
      <c r="J47" s="3">
        <v>12</v>
      </c>
      <c r="K47" s="3" t="s">
        <v>285</v>
      </c>
      <c r="L47" s="3" t="s">
        <v>123</v>
      </c>
      <c r="M47" s="3" t="s">
        <v>124</v>
      </c>
      <c r="N47" s="3" t="s">
        <v>299</v>
      </c>
      <c r="O47" s="3">
        <v>0</v>
      </c>
      <c r="P47" s="3" t="s">
        <v>126</v>
      </c>
      <c r="Q47" s="3"/>
      <c r="R47" s="3"/>
      <c r="S47" s="3"/>
      <c r="T47" s="3" t="str">
        <f t="shared" si="1"/>
        <v/>
      </c>
      <c r="U47" s="10"/>
    </row>
    <row r="48" spans="1:21" x14ac:dyDescent="0.35">
      <c r="A48" s="9" t="s">
        <v>271</v>
      </c>
      <c r="B48" s="3" t="s">
        <v>31</v>
      </c>
      <c r="C48" s="3" t="s">
        <v>300</v>
      </c>
      <c r="D48" s="3" t="s">
        <v>241</v>
      </c>
      <c r="E48" s="3" t="s">
        <v>301</v>
      </c>
      <c r="F48" s="3" t="s">
        <v>243</v>
      </c>
      <c r="G48" s="3" t="s">
        <v>122</v>
      </c>
      <c r="H48" s="3">
        <v>12</v>
      </c>
      <c r="I48" s="3">
        <v>1</v>
      </c>
      <c r="J48" s="3">
        <v>12</v>
      </c>
      <c r="K48" s="3" t="s">
        <v>293</v>
      </c>
      <c r="L48" s="3" t="s">
        <v>123</v>
      </c>
      <c r="M48" s="3" t="s">
        <v>124</v>
      </c>
      <c r="N48" s="3" t="s">
        <v>302</v>
      </c>
      <c r="O48" s="3">
        <v>0</v>
      </c>
      <c r="P48" s="3" t="s">
        <v>126</v>
      </c>
      <c r="Q48" s="3"/>
      <c r="R48" s="3"/>
      <c r="S48" s="3"/>
      <c r="T48" s="3" t="str">
        <f t="shared" si="1"/>
        <v/>
      </c>
      <c r="U48" s="10"/>
    </row>
    <row r="49" spans="1:21" x14ac:dyDescent="0.35">
      <c r="A49" s="11" t="s">
        <v>271</v>
      </c>
      <c r="B49" s="12" t="s">
        <v>31</v>
      </c>
      <c r="C49" s="12" t="s">
        <v>88</v>
      </c>
      <c r="D49" s="12" t="s">
        <v>119</v>
      </c>
      <c r="E49" s="12" t="s">
        <v>303</v>
      </c>
      <c r="F49" s="12" t="s">
        <v>89</v>
      </c>
      <c r="G49" s="12" t="s">
        <v>180</v>
      </c>
      <c r="H49" s="12">
        <v>12</v>
      </c>
      <c r="I49" s="12">
        <v>1</v>
      </c>
      <c r="J49" s="12">
        <v>12</v>
      </c>
      <c r="K49" s="12" t="s">
        <v>304</v>
      </c>
      <c r="L49" s="12" t="s">
        <v>143</v>
      </c>
      <c r="M49" s="12" t="s">
        <v>124</v>
      </c>
      <c r="N49" s="12" t="s">
        <v>305</v>
      </c>
      <c r="O49" s="12">
        <v>0</v>
      </c>
      <c r="P49" s="12" t="s">
        <v>126</v>
      </c>
      <c r="Q49" s="12"/>
      <c r="R49" s="12"/>
      <c r="S49" s="12"/>
      <c r="T49" s="12" t="str">
        <f t="shared" si="1"/>
        <v/>
      </c>
      <c r="U49" s="13"/>
    </row>
    <row r="50" spans="1:21" x14ac:dyDescent="0.35">
      <c r="A50" s="9" t="s">
        <v>306</v>
      </c>
      <c r="B50" s="3" t="s">
        <v>37</v>
      </c>
      <c r="C50" s="3" t="s">
        <v>307</v>
      </c>
      <c r="D50" s="3" t="s">
        <v>188</v>
      </c>
      <c r="E50" s="3" t="s">
        <v>308</v>
      </c>
      <c r="F50" s="3" t="s">
        <v>188</v>
      </c>
      <c r="G50" s="3" t="s">
        <v>122</v>
      </c>
      <c r="H50" s="3">
        <v>13</v>
      </c>
      <c r="I50" s="3">
        <v>2</v>
      </c>
      <c r="J50" s="3">
        <v>14</v>
      </c>
      <c r="K50" s="3" t="s">
        <v>88</v>
      </c>
      <c r="L50" s="3" t="s">
        <v>123</v>
      </c>
      <c r="M50" s="3" t="s">
        <v>124</v>
      </c>
      <c r="N50" s="3" t="s">
        <v>309</v>
      </c>
      <c r="O50" s="3">
        <v>0</v>
      </c>
      <c r="P50" s="3" t="s">
        <v>126</v>
      </c>
      <c r="Q50" s="3"/>
      <c r="R50" s="3"/>
      <c r="S50" s="3"/>
      <c r="T50" s="3" t="str">
        <f t="shared" si="1"/>
        <v/>
      </c>
      <c r="U50" s="10"/>
    </row>
    <row r="51" spans="1:21" x14ac:dyDescent="0.35">
      <c r="A51" s="9" t="s">
        <v>306</v>
      </c>
      <c r="B51" s="3" t="s">
        <v>37</v>
      </c>
      <c r="C51" s="3" t="s">
        <v>310</v>
      </c>
      <c r="D51" s="3" t="s">
        <v>188</v>
      </c>
      <c r="E51" s="3" t="s">
        <v>311</v>
      </c>
      <c r="F51" s="3" t="s">
        <v>188</v>
      </c>
      <c r="G51" s="3" t="s">
        <v>122</v>
      </c>
      <c r="H51" s="3">
        <v>13</v>
      </c>
      <c r="I51" s="3">
        <v>2</v>
      </c>
      <c r="J51" s="3">
        <v>14</v>
      </c>
      <c r="K51" s="3" t="s">
        <v>88</v>
      </c>
      <c r="L51" s="3" t="s">
        <v>123</v>
      </c>
      <c r="M51" s="3" t="s">
        <v>124</v>
      </c>
      <c r="N51" s="3" t="s">
        <v>312</v>
      </c>
      <c r="O51" s="3">
        <v>0</v>
      </c>
      <c r="P51" s="3" t="s">
        <v>126</v>
      </c>
      <c r="Q51" s="3"/>
      <c r="R51" s="3"/>
      <c r="S51" s="3"/>
      <c r="T51" s="3" t="str">
        <f t="shared" si="1"/>
        <v/>
      </c>
      <c r="U51" s="10"/>
    </row>
    <row r="52" spans="1:21" x14ac:dyDescent="0.35">
      <c r="A52" s="9" t="s">
        <v>306</v>
      </c>
      <c r="B52" s="3" t="s">
        <v>37</v>
      </c>
      <c r="C52" s="3" t="s">
        <v>313</v>
      </c>
      <c r="D52" s="3" t="s">
        <v>314</v>
      </c>
      <c r="E52" s="3" t="s">
        <v>315</v>
      </c>
      <c r="F52" s="3" t="s">
        <v>316</v>
      </c>
      <c r="G52" s="3" t="s">
        <v>122</v>
      </c>
      <c r="H52" s="3">
        <v>13</v>
      </c>
      <c r="I52" s="3">
        <v>2</v>
      </c>
      <c r="J52" s="3">
        <v>14</v>
      </c>
      <c r="K52" s="3" t="s">
        <v>88</v>
      </c>
      <c r="L52" s="3" t="s">
        <v>123</v>
      </c>
      <c r="M52" s="3" t="s">
        <v>124</v>
      </c>
      <c r="N52" s="3" t="s">
        <v>317</v>
      </c>
      <c r="O52" s="3">
        <v>0</v>
      </c>
      <c r="P52" s="3" t="s">
        <v>126</v>
      </c>
      <c r="Q52" s="3"/>
      <c r="R52" s="3"/>
      <c r="S52" s="3"/>
      <c r="T52" s="3" t="str">
        <f t="shared" si="1"/>
        <v/>
      </c>
      <c r="U52" s="10"/>
    </row>
    <row r="53" spans="1:21" x14ac:dyDescent="0.35">
      <c r="A53" s="9" t="s">
        <v>306</v>
      </c>
      <c r="B53" s="3" t="s">
        <v>37</v>
      </c>
      <c r="C53" s="3" t="s">
        <v>318</v>
      </c>
      <c r="D53" s="3" t="s">
        <v>196</v>
      </c>
      <c r="E53" s="3" t="s">
        <v>319</v>
      </c>
      <c r="F53" s="3" t="s">
        <v>198</v>
      </c>
      <c r="G53" s="3" t="s">
        <v>122</v>
      </c>
      <c r="H53" s="3">
        <v>13</v>
      </c>
      <c r="I53" s="3">
        <v>2</v>
      </c>
      <c r="J53" s="3">
        <v>14</v>
      </c>
      <c r="K53" s="3" t="s">
        <v>88</v>
      </c>
      <c r="L53" s="3" t="s">
        <v>143</v>
      </c>
      <c r="M53" s="3" t="s">
        <v>124</v>
      </c>
      <c r="N53" s="3" t="s">
        <v>320</v>
      </c>
      <c r="O53" s="3">
        <v>0</v>
      </c>
      <c r="P53" s="3" t="s">
        <v>126</v>
      </c>
      <c r="Q53" s="3"/>
      <c r="R53" s="3"/>
      <c r="S53" s="3"/>
      <c r="T53" s="3" t="str">
        <f t="shared" si="1"/>
        <v/>
      </c>
      <c r="U53" s="10"/>
    </row>
    <row r="54" spans="1:21" x14ac:dyDescent="0.35">
      <c r="A54" s="9" t="s">
        <v>306</v>
      </c>
      <c r="B54" s="3" t="s">
        <v>37</v>
      </c>
      <c r="C54" s="3" t="s">
        <v>321</v>
      </c>
      <c r="D54" s="3" t="s">
        <v>322</v>
      </c>
      <c r="E54" s="3" t="s">
        <v>323</v>
      </c>
      <c r="F54" s="3" t="s">
        <v>324</v>
      </c>
      <c r="G54" s="3" t="s">
        <v>122</v>
      </c>
      <c r="H54" s="3">
        <v>14</v>
      </c>
      <c r="I54" s="3">
        <v>2</v>
      </c>
      <c r="J54" s="3">
        <v>15</v>
      </c>
      <c r="K54" s="3" t="s">
        <v>88</v>
      </c>
      <c r="L54" s="3" t="s">
        <v>143</v>
      </c>
      <c r="M54" s="3" t="s">
        <v>124</v>
      </c>
      <c r="N54" s="3" t="s">
        <v>325</v>
      </c>
      <c r="O54" s="3">
        <v>0</v>
      </c>
      <c r="P54" s="3" t="s">
        <v>126</v>
      </c>
      <c r="Q54" s="3"/>
      <c r="R54" s="3"/>
      <c r="S54" s="3"/>
      <c r="T54" s="3" t="str">
        <f t="shared" si="1"/>
        <v/>
      </c>
      <c r="U54" s="10"/>
    </row>
    <row r="55" spans="1:21" x14ac:dyDescent="0.35">
      <c r="A55" s="9" t="s">
        <v>306</v>
      </c>
      <c r="B55" s="3" t="s">
        <v>37</v>
      </c>
      <c r="C55" s="3" t="s">
        <v>326</v>
      </c>
      <c r="D55" s="3" t="s">
        <v>220</v>
      </c>
      <c r="E55" s="3" t="s">
        <v>327</v>
      </c>
      <c r="F55" s="3" t="s">
        <v>222</v>
      </c>
      <c r="G55" s="3" t="s">
        <v>122</v>
      </c>
      <c r="H55" s="3">
        <v>15</v>
      </c>
      <c r="I55" s="3">
        <v>1</v>
      </c>
      <c r="J55" s="3">
        <v>15</v>
      </c>
      <c r="K55" s="3" t="s">
        <v>328</v>
      </c>
      <c r="L55" s="3" t="s">
        <v>123</v>
      </c>
      <c r="M55" s="3" t="s">
        <v>124</v>
      </c>
      <c r="N55" s="3" t="s">
        <v>329</v>
      </c>
      <c r="O55" s="3">
        <v>0</v>
      </c>
      <c r="P55" s="3" t="s">
        <v>126</v>
      </c>
      <c r="Q55" s="3"/>
      <c r="R55" s="3"/>
      <c r="S55" s="3"/>
      <c r="T55" s="3" t="str">
        <f t="shared" si="1"/>
        <v/>
      </c>
      <c r="U55" s="10"/>
    </row>
    <row r="56" spans="1:21" x14ac:dyDescent="0.35">
      <c r="A56" s="9" t="s">
        <v>306</v>
      </c>
      <c r="B56" s="3" t="s">
        <v>37</v>
      </c>
      <c r="C56" s="3" t="s">
        <v>330</v>
      </c>
      <c r="D56" s="3" t="s">
        <v>331</v>
      </c>
      <c r="E56" s="3" t="s">
        <v>332</v>
      </c>
      <c r="F56" s="3" t="s">
        <v>142</v>
      </c>
      <c r="G56" s="3" t="s">
        <v>122</v>
      </c>
      <c r="H56" s="3">
        <v>15</v>
      </c>
      <c r="I56" s="3">
        <v>2</v>
      </c>
      <c r="J56" s="3">
        <v>16</v>
      </c>
      <c r="K56" s="3" t="s">
        <v>326</v>
      </c>
      <c r="L56" s="3" t="s">
        <v>143</v>
      </c>
      <c r="M56" s="3" t="s">
        <v>124</v>
      </c>
      <c r="N56" s="3" t="s">
        <v>333</v>
      </c>
      <c r="O56" s="3">
        <v>0</v>
      </c>
      <c r="P56" s="3" t="s">
        <v>126</v>
      </c>
      <c r="Q56" s="3"/>
      <c r="R56" s="3"/>
      <c r="S56" s="3"/>
      <c r="T56" s="3" t="str">
        <f t="shared" si="1"/>
        <v/>
      </c>
      <c r="U56" s="10"/>
    </row>
    <row r="57" spans="1:21" x14ac:dyDescent="0.35">
      <c r="A57" s="9" t="s">
        <v>306</v>
      </c>
      <c r="B57" s="3" t="s">
        <v>37</v>
      </c>
      <c r="C57" s="3" t="s">
        <v>334</v>
      </c>
      <c r="D57" s="3" t="s">
        <v>119</v>
      </c>
      <c r="E57" s="3" t="s">
        <v>335</v>
      </c>
      <c r="F57" s="3" t="s">
        <v>121</v>
      </c>
      <c r="G57" s="3" t="s">
        <v>122</v>
      </c>
      <c r="H57" s="3">
        <v>16</v>
      </c>
      <c r="I57" s="3">
        <v>1</v>
      </c>
      <c r="J57" s="3">
        <v>16</v>
      </c>
      <c r="K57" s="3" t="s">
        <v>336</v>
      </c>
      <c r="L57" s="3" t="s">
        <v>123</v>
      </c>
      <c r="M57" s="3" t="s">
        <v>124</v>
      </c>
      <c r="N57" s="3" t="s">
        <v>337</v>
      </c>
      <c r="O57" s="3">
        <v>0</v>
      </c>
      <c r="P57" s="3" t="s">
        <v>126</v>
      </c>
      <c r="Q57" s="3"/>
      <c r="R57" s="3"/>
      <c r="S57" s="3"/>
      <c r="T57" s="3" t="str">
        <f t="shared" si="1"/>
        <v/>
      </c>
      <c r="U57" s="10"/>
    </row>
    <row r="58" spans="1:21" x14ac:dyDescent="0.35">
      <c r="A58" s="14" t="s">
        <v>306</v>
      </c>
      <c r="B58" s="15" t="s">
        <v>37</v>
      </c>
      <c r="C58" s="15" t="s">
        <v>92</v>
      </c>
      <c r="D58" s="15" t="s">
        <v>119</v>
      </c>
      <c r="E58" s="15" t="s">
        <v>338</v>
      </c>
      <c r="F58" s="15" t="s">
        <v>93</v>
      </c>
      <c r="G58" s="15" t="s">
        <v>180</v>
      </c>
      <c r="H58" s="15">
        <v>16</v>
      </c>
      <c r="I58" s="15">
        <v>1</v>
      </c>
      <c r="J58" s="15">
        <v>16</v>
      </c>
      <c r="K58" s="15" t="s">
        <v>334</v>
      </c>
      <c r="L58" s="15" t="s">
        <v>143</v>
      </c>
      <c r="M58" s="15" t="s">
        <v>124</v>
      </c>
      <c r="N58" s="15" t="s">
        <v>339</v>
      </c>
      <c r="O58" s="15">
        <v>0</v>
      </c>
      <c r="P58" s="15" t="s">
        <v>126</v>
      </c>
      <c r="Q58" s="15"/>
      <c r="R58" s="15"/>
      <c r="S58" s="15"/>
      <c r="T58" s="15" t="str">
        <f t="shared" si="1"/>
        <v/>
      </c>
      <c r="U58" s="16"/>
    </row>
  </sheetData>
  <mergeCells count="2">
    <mergeCell ref="A1:U1"/>
    <mergeCell ref="A2:U2"/>
  </mergeCells>
  <dataValidations count="2">
    <dataValidation type="list" sqref="M5:M58" xr:uid="{00000000-0002-0000-0200-000000000000}">
      <formula1>"Not Started,In Progress,Complete,Blocked,At Risk"</formula1>
    </dataValidation>
    <dataValidation type="list" sqref="P5:P58" xr:uid="{00000000-0002-0000-0200-000001000000}">
      <formula1>"Grey,Green,Amber,Red"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workbookViewId="0">
      <pane ySplit="4" topLeftCell="A5" activePane="bottomLeft" state="frozen"/>
      <selection pane="bottomLeft" activeCell="C11" sqref="C11"/>
    </sheetView>
  </sheetViews>
  <sheetFormatPr defaultRowHeight="14.5" x14ac:dyDescent="0.35"/>
  <cols>
    <col min="1" max="1" width="28" customWidth="1"/>
    <col min="2" max="2" width="12.81640625" customWidth="1"/>
    <col min="3" max="3" width="41.90625" customWidth="1"/>
    <col min="4" max="4" width="35.1796875" customWidth="1"/>
    <col min="5" max="5" width="21" customWidth="1"/>
    <col min="6" max="7" width="18" customWidth="1"/>
    <col min="8" max="8" width="25" customWidth="1"/>
    <col min="9" max="9" width="16" customWidth="1"/>
    <col min="10" max="10" width="25" customWidth="1"/>
  </cols>
  <sheetData>
    <row r="1" spans="1:10" ht="30" customHeight="1" x14ac:dyDescent="0.35">
      <c r="A1" s="30" t="s">
        <v>340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35">
      <c r="A2" s="28" t="s">
        <v>341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9" customHeight="1" x14ac:dyDescent="0.35">
      <c r="A4" s="6" t="s">
        <v>342</v>
      </c>
      <c r="B4" s="7" t="s">
        <v>5</v>
      </c>
      <c r="C4" s="7" t="s">
        <v>343</v>
      </c>
      <c r="D4" s="7" t="s">
        <v>344</v>
      </c>
      <c r="E4" s="7" t="s">
        <v>345</v>
      </c>
      <c r="F4" s="7" t="s">
        <v>346</v>
      </c>
      <c r="G4" s="7" t="s">
        <v>347</v>
      </c>
      <c r="H4" s="7" t="s">
        <v>348</v>
      </c>
      <c r="I4" s="7" t="s">
        <v>349</v>
      </c>
      <c r="J4" s="8" t="s">
        <v>100</v>
      </c>
    </row>
    <row r="5" spans="1:10" x14ac:dyDescent="0.35">
      <c r="A5" s="9" t="s">
        <v>350</v>
      </c>
      <c r="B5" s="3" t="s">
        <v>351</v>
      </c>
      <c r="C5" s="3" t="s">
        <v>352</v>
      </c>
      <c r="D5" s="3" t="s">
        <v>353</v>
      </c>
      <c r="E5" s="3" t="s">
        <v>354</v>
      </c>
      <c r="F5" s="3" t="s">
        <v>143</v>
      </c>
      <c r="G5" s="3" t="s">
        <v>143</v>
      </c>
      <c r="H5" s="3" t="s">
        <v>355</v>
      </c>
      <c r="I5" s="3" t="s">
        <v>124</v>
      </c>
      <c r="J5" s="10" t="s">
        <v>188</v>
      </c>
    </row>
    <row r="6" spans="1:10" x14ac:dyDescent="0.35">
      <c r="A6" s="9" t="s">
        <v>356</v>
      </c>
      <c r="B6" s="3" t="s">
        <v>351</v>
      </c>
      <c r="C6" s="3" t="s">
        <v>357</v>
      </c>
      <c r="D6" s="3" t="s">
        <v>358</v>
      </c>
      <c r="E6" s="3" t="s">
        <v>354</v>
      </c>
      <c r="F6" s="3" t="s">
        <v>143</v>
      </c>
      <c r="G6" s="3" t="s">
        <v>143</v>
      </c>
      <c r="H6" s="3" t="s">
        <v>359</v>
      </c>
      <c r="I6" s="3" t="s">
        <v>124</v>
      </c>
      <c r="J6" s="10" t="s">
        <v>252</v>
      </c>
    </row>
    <row r="7" spans="1:10" ht="29" customHeight="1" x14ac:dyDescent="0.35">
      <c r="A7" s="9" t="s">
        <v>360</v>
      </c>
      <c r="B7" s="3" t="s">
        <v>361</v>
      </c>
      <c r="C7" s="3" t="s">
        <v>362</v>
      </c>
      <c r="D7" s="3" t="s">
        <v>363</v>
      </c>
      <c r="E7" s="3" t="s">
        <v>364</v>
      </c>
      <c r="F7" s="3" t="s">
        <v>143</v>
      </c>
      <c r="G7" s="3" t="s">
        <v>143</v>
      </c>
      <c r="H7" s="3" t="s">
        <v>359</v>
      </c>
      <c r="I7" s="3" t="s">
        <v>124</v>
      </c>
      <c r="J7" s="10" t="s">
        <v>193</v>
      </c>
    </row>
    <row r="8" spans="1:10" x14ac:dyDescent="0.35">
      <c r="A8" s="9" t="s">
        <v>365</v>
      </c>
      <c r="B8" s="3" t="s">
        <v>351</v>
      </c>
      <c r="C8" s="3" t="s">
        <v>366</v>
      </c>
      <c r="D8" s="3" t="s">
        <v>367</v>
      </c>
      <c r="E8" s="3" t="s">
        <v>364</v>
      </c>
      <c r="F8" s="3" t="s">
        <v>143</v>
      </c>
      <c r="G8" s="3" t="s">
        <v>143</v>
      </c>
      <c r="H8" s="3" t="s">
        <v>359</v>
      </c>
      <c r="I8" s="3" t="s">
        <v>124</v>
      </c>
      <c r="J8" s="10" t="s">
        <v>198</v>
      </c>
    </row>
    <row r="9" spans="1:10" x14ac:dyDescent="0.35">
      <c r="A9" s="9" t="s">
        <v>368</v>
      </c>
      <c r="B9" s="3" t="s">
        <v>351</v>
      </c>
      <c r="C9" s="3" t="s">
        <v>369</v>
      </c>
      <c r="D9" s="3" t="s">
        <v>370</v>
      </c>
      <c r="E9" s="3" t="s">
        <v>364</v>
      </c>
      <c r="F9" s="3" t="s">
        <v>143</v>
      </c>
      <c r="G9" s="3" t="s">
        <v>143</v>
      </c>
      <c r="H9" s="3" t="s">
        <v>359</v>
      </c>
      <c r="I9" s="3" t="s">
        <v>124</v>
      </c>
      <c r="J9" s="10" t="s">
        <v>198</v>
      </c>
    </row>
    <row r="10" spans="1:10" ht="29" customHeight="1" x14ac:dyDescent="0.35">
      <c r="A10" s="9" t="s">
        <v>371</v>
      </c>
      <c r="B10" s="3" t="s">
        <v>361</v>
      </c>
      <c r="C10" s="3" t="s">
        <v>372</v>
      </c>
      <c r="D10" s="3" t="s">
        <v>373</v>
      </c>
      <c r="E10" s="3" t="s">
        <v>374</v>
      </c>
      <c r="F10" s="3" t="s">
        <v>143</v>
      </c>
      <c r="G10" s="3" t="s">
        <v>143</v>
      </c>
      <c r="H10" s="3" t="s">
        <v>375</v>
      </c>
      <c r="I10" s="3" t="s">
        <v>124</v>
      </c>
      <c r="J10" s="10" t="s">
        <v>142</v>
      </c>
    </row>
    <row r="11" spans="1:10" x14ac:dyDescent="0.35">
      <c r="A11" s="9" t="s">
        <v>376</v>
      </c>
      <c r="B11" s="3" t="s">
        <v>37</v>
      </c>
      <c r="C11" s="3" t="s">
        <v>377</v>
      </c>
      <c r="D11" s="3" t="s">
        <v>378</v>
      </c>
      <c r="E11" s="3" t="s">
        <v>379</v>
      </c>
      <c r="F11" s="3" t="s">
        <v>143</v>
      </c>
      <c r="G11" s="3" t="s">
        <v>143</v>
      </c>
      <c r="H11" s="3" t="s">
        <v>380</v>
      </c>
      <c r="I11" s="3" t="s">
        <v>124</v>
      </c>
      <c r="J11" s="10" t="s">
        <v>188</v>
      </c>
    </row>
    <row r="12" spans="1:10" x14ac:dyDescent="0.35">
      <c r="A12" s="17" t="s">
        <v>381</v>
      </c>
      <c r="B12" s="18" t="s">
        <v>37</v>
      </c>
      <c r="C12" s="18" t="s">
        <v>382</v>
      </c>
      <c r="D12" s="18" t="s">
        <v>309</v>
      </c>
      <c r="E12" s="18" t="s">
        <v>354</v>
      </c>
      <c r="F12" s="18" t="s">
        <v>143</v>
      </c>
      <c r="G12" s="18" t="s">
        <v>143</v>
      </c>
      <c r="H12" s="18" t="s">
        <v>383</v>
      </c>
      <c r="I12" s="18" t="s">
        <v>124</v>
      </c>
      <c r="J12" s="19" t="s">
        <v>188</v>
      </c>
    </row>
  </sheetData>
  <mergeCells count="2">
    <mergeCell ref="A1:J1"/>
    <mergeCell ref="A2:J2"/>
  </mergeCells>
  <dataValidations count="1">
    <dataValidation type="list" sqref="I5:I12" xr:uid="{00000000-0002-0000-0300-000000000000}">
      <formula1>"Not Started,In Progress,Complete,Blocked"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showGridLines="0" workbookViewId="0">
      <selection activeCell="C16" sqref="C16"/>
    </sheetView>
  </sheetViews>
  <sheetFormatPr defaultRowHeight="14.5" x14ac:dyDescent="0.35"/>
  <cols>
    <col min="1" max="1" width="18" customWidth="1"/>
    <col min="2" max="2" width="35" customWidth="1"/>
    <col min="3" max="3" width="14" customWidth="1"/>
    <col min="4" max="4" width="28" customWidth="1"/>
    <col min="5" max="6" width="12" customWidth="1"/>
    <col min="7" max="8" width="15" customWidth="1"/>
    <col min="9" max="9" width="42" customWidth="1"/>
    <col min="10" max="10" width="20" customWidth="1"/>
  </cols>
  <sheetData>
    <row r="1" spans="1:10" ht="30" customHeight="1" x14ac:dyDescent="0.35">
      <c r="A1" s="30" t="s">
        <v>384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35">
      <c r="A2" s="28" t="s">
        <v>385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5" t="s">
        <v>386</v>
      </c>
      <c r="B4" s="5" t="s">
        <v>387</v>
      </c>
      <c r="C4" s="5" t="s">
        <v>388</v>
      </c>
      <c r="D4" s="5" t="s">
        <v>389</v>
      </c>
      <c r="E4" s="5" t="s">
        <v>390</v>
      </c>
      <c r="F4" s="5" t="s">
        <v>391</v>
      </c>
      <c r="G4" s="5" t="s">
        <v>392</v>
      </c>
      <c r="H4" s="5" t="s">
        <v>110</v>
      </c>
      <c r="I4" s="5" t="s">
        <v>393</v>
      </c>
      <c r="J4" s="5" t="s">
        <v>394</v>
      </c>
    </row>
    <row r="5" spans="1:10" x14ac:dyDescent="0.35">
      <c r="A5" s="3" t="s">
        <v>77</v>
      </c>
      <c r="B5" s="3" t="s">
        <v>183</v>
      </c>
      <c r="C5" s="3">
        <v>2</v>
      </c>
      <c r="D5" s="3" t="s">
        <v>78</v>
      </c>
      <c r="E5" s="3">
        <f>COUNTIF('Gate Criteria Checklist'!A:A,A5)</f>
        <v>5</v>
      </c>
      <c r="F5" s="3">
        <f>COUNTIFS('Gate Criteria Checklist'!A:A,A5,'Gate Criteria Checklist'!F:F,"Complete")</f>
        <v>0</v>
      </c>
      <c r="G5" s="20">
        <f>IF(E5=0,0,F5/E5)</f>
        <v>0</v>
      </c>
      <c r="H5" s="3" t="str">
        <f>IF(F5=0,"Not Started",IF(G5=1,"Green",IF(G5&gt;=0.75,"Amber","Red")))</f>
        <v>Not Started</v>
      </c>
      <c r="I5" s="3"/>
      <c r="J5" s="3" t="s">
        <v>121</v>
      </c>
    </row>
    <row r="6" spans="1:10" x14ac:dyDescent="0.35">
      <c r="A6" s="3" t="s">
        <v>82</v>
      </c>
      <c r="B6" s="3" t="s">
        <v>229</v>
      </c>
      <c r="C6" s="3">
        <v>5</v>
      </c>
      <c r="D6" s="3" t="s">
        <v>78</v>
      </c>
      <c r="E6" s="3">
        <f>COUNTIF('Gate Criteria Checklist'!A:A,A6)</f>
        <v>5</v>
      </c>
      <c r="F6" s="3">
        <f>COUNTIFS('Gate Criteria Checklist'!A:A,A6,'Gate Criteria Checklist'!F:F,"Complete")</f>
        <v>0</v>
      </c>
      <c r="G6" s="20">
        <f>IF(E6=0,0,F6/E6)</f>
        <v>0</v>
      </c>
      <c r="H6" s="3" t="str">
        <f>IF(F6=0,"Not Started",IF(G6=1,"Green",IF(G6&gt;=0.75,"Amber","Red")))</f>
        <v>Not Started</v>
      </c>
      <c r="I6" s="3"/>
      <c r="J6" s="3" t="s">
        <v>121</v>
      </c>
    </row>
    <row r="7" spans="1:10" x14ac:dyDescent="0.35">
      <c r="A7" s="3" t="s">
        <v>85</v>
      </c>
      <c r="B7" s="3" t="s">
        <v>395</v>
      </c>
      <c r="C7" s="3">
        <v>8</v>
      </c>
      <c r="D7" s="3" t="s">
        <v>78</v>
      </c>
      <c r="E7" s="3">
        <f>COUNTIF('Gate Criteria Checklist'!A:A,A7)</f>
        <v>5</v>
      </c>
      <c r="F7" s="3">
        <f>COUNTIFS('Gate Criteria Checklist'!A:A,A7,'Gate Criteria Checklist'!F:F,"Complete")</f>
        <v>0</v>
      </c>
      <c r="G7" s="20">
        <f>IF(E7=0,0,F7/E7)</f>
        <v>0</v>
      </c>
      <c r="H7" s="3" t="str">
        <f>IF(F7=0,"Not Started",IF(G7=1,"Green",IF(G7&gt;=0.75,"Amber","Red")))</f>
        <v>Not Started</v>
      </c>
      <c r="I7" s="3"/>
      <c r="J7" s="3" t="s">
        <v>121</v>
      </c>
    </row>
    <row r="8" spans="1:10" x14ac:dyDescent="0.35">
      <c r="A8" s="3" t="s">
        <v>88</v>
      </c>
      <c r="B8" s="3" t="s">
        <v>303</v>
      </c>
      <c r="C8" s="3">
        <v>12</v>
      </c>
      <c r="D8" s="3" t="s">
        <v>89</v>
      </c>
      <c r="E8" s="3">
        <f>COUNTIF('Gate Criteria Checklist'!A:A,A8)</f>
        <v>5</v>
      </c>
      <c r="F8" s="3">
        <f>COUNTIFS('Gate Criteria Checklist'!A:A,A8,'Gate Criteria Checklist'!F:F,"Complete")</f>
        <v>0</v>
      </c>
      <c r="G8" s="20">
        <f>IF(E8=0,0,F8/E8)</f>
        <v>0</v>
      </c>
      <c r="H8" s="3" t="str">
        <f>IF(F8=0,"Not Started",IF(G8=1,"Green",IF(G8&gt;=0.75,"Amber","Red")))</f>
        <v>Not Started</v>
      </c>
      <c r="I8" s="3"/>
      <c r="J8" s="3" t="s">
        <v>121</v>
      </c>
    </row>
    <row r="9" spans="1:10" x14ac:dyDescent="0.35">
      <c r="A9" s="3" t="s">
        <v>92</v>
      </c>
      <c r="B9" s="3" t="s">
        <v>338</v>
      </c>
      <c r="C9" s="3">
        <v>16</v>
      </c>
      <c r="D9" s="3" t="s">
        <v>93</v>
      </c>
      <c r="E9" s="3">
        <f>COUNTIF('Gate Criteria Checklist'!A:A,A9)</f>
        <v>5</v>
      </c>
      <c r="F9" s="3">
        <f>COUNTIFS('Gate Criteria Checklist'!A:A,A9,'Gate Criteria Checklist'!F:F,"Complete")</f>
        <v>0</v>
      </c>
      <c r="G9" s="20">
        <f>IF(E9=0,0,F9/E9)</f>
        <v>0</v>
      </c>
      <c r="H9" s="3" t="str">
        <f>IF(F9=0,"Not Started",IF(G9=1,"Green",IF(G9&gt;=0.75,"Amber","Red")))</f>
        <v>Not Started</v>
      </c>
      <c r="I9" s="3"/>
      <c r="J9" s="3" t="s">
        <v>121</v>
      </c>
    </row>
    <row r="10" spans="1:1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5">
      <c r="A11" s="37" t="s">
        <v>396</v>
      </c>
      <c r="B11" s="3"/>
      <c r="C11" s="1"/>
      <c r="D11" s="1"/>
      <c r="E11" s="1"/>
      <c r="F11" s="1"/>
      <c r="G11" s="1"/>
      <c r="H11" s="1"/>
      <c r="I11" s="1"/>
      <c r="J11" s="1"/>
    </row>
    <row r="12" spans="1:10" x14ac:dyDescent="0.35">
      <c r="A12" s="3" t="s">
        <v>124</v>
      </c>
      <c r="B12" s="3" t="s">
        <v>397</v>
      </c>
      <c r="C12" s="1"/>
      <c r="D12" s="1"/>
      <c r="E12" s="1"/>
      <c r="F12" s="1"/>
      <c r="G12" s="1"/>
      <c r="H12" s="1"/>
      <c r="I12" s="1"/>
      <c r="J12" s="1"/>
    </row>
    <row r="13" spans="1:10" x14ac:dyDescent="0.35">
      <c r="A13" s="3" t="s">
        <v>398</v>
      </c>
      <c r="B13" s="3" t="s">
        <v>399</v>
      </c>
      <c r="C13" s="1"/>
      <c r="D13" s="1"/>
      <c r="E13" s="1"/>
      <c r="F13" s="1"/>
      <c r="G13" s="1"/>
      <c r="H13" s="1"/>
      <c r="I13" s="1"/>
      <c r="J13" s="1"/>
    </row>
    <row r="14" spans="1:10" x14ac:dyDescent="0.35">
      <c r="A14" s="3" t="s">
        <v>400</v>
      </c>
      <c r="B14" s="3" t="s">
        <v>401</v>
      </c>
      <c r="C14" s="1"/>
      <c r="D14" s="1"/>
      <c r="E14" s="1"/>
      <c r="F14" s="1"/>
      <c r="G14" s="1"/>
      <c r="H14" s="1"/>
      <c r="I14" s="1"/>
      <c r="J14" s="1"/>
    </row>
    <row r="15" spans="1:10" x14ac:dyDescent="0.35">
      <c r="A15" s="3" t="s">
        <v>402</v>
      </c>
      <c r="B15" s="3" t="s">
        <v>403</v>
      </c>
      <c r="C15" s="1"/>
      <c r="D15" s="1"/>
      <c r="E15" s="1"/>
      <c r="F15" s="1"/>
      <c r="G15" s="1"/>
      <c r="H15" s="1"/>
      <c r="I15" s="1"/>
      <c r="J15" s="1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showGridLines="0" workbookViewId="0">
      <pane ySplit="4" topLeftCell="A20" activePane="bottomLeft" state="frozen"/>
      <selection pane="bottomLeft" activeCell="B33" sqref="B33"/>
    </sheetView>
  </sheetViews>
  <sheetFormatPr defaultRowHeight="14.5" x14ac:dyDescent="0.35"/>
  <cols>
    <col min="1" max="1" width="18" customWidth="1"/>
    <col min="2" max="2" width="65" customWidth="1"/>
    <col min="3" max="3" width="25" customWidth="1"/>
    <col min="4" max="4" width="38" customWidth="1"/>
    <col min="5" max="6" width="16" customWidth="1"/>
    <col min="7" max="7" width="42" customWidth="1"/>
  </cols>
  <sheetData>
    <row r="1" spans="1:7" ht="30" customHeight="1" x14ac:dyDescent="0.35">
      <c r="A1" s="30" t="s">
        <v>404</v>
      </c>
      <c r="B1" s="29"/>
      <c r="C1" s="29"/>
      <c r="D1" s="29"/>
      <c r="E1" s="29"/>
      <c r="F1" s="29"/>
      <c r="G1" s="29"/>
    </row>
    <row r="2" spans="1:7" x14ac:dyDescent="0.35">
      <c r="A2" s="28" t="s">
        <v>405</v>
      </c>
      <c r="B2" s="29"/>
      <c r="C2" s="29"/>
      <c r="D2" s="29"/>
      <c r="E2" s="29"/>
      <c r="F2" s="29"/>
      <c r="G2" s="29"/>
    </row>
    <row r="3" spans="1:7" x14ac:dyDescent="0.35">
      <c r="A3" s="1"/>
      <c r="B3" s="1"/>
      <c r="C3" s="1"/>
      <c r="D3" s="1"/>
      <c r="E3" s="1"/>
      <c r="F3" s="1"/>
      <c r="G3" s="1"/>
    </row>
    <row r="4" spans="1:7" x14ac:dyDescent="0.35">
      <c r="A4" s="6" t="s">
        <v>386</v>
      </c>
      <c r="B4" s="7" t="s">
        <v>406</v>
      </c>
      <c r="C4" s="7" t="s">
        <v>100</v>
      </c>
      <c r="D4" s="7" t="s">
        <v>407</v>
      </c>
      <c r="E4" s="7" t="s">
        <v>408</v>
      </c>
      <c r="F4" s="7" t="s">
        <v>107</v>
      </c>
      <c r="G4" s="8" t="s">
        <v>409</v>
      </c>
    </row>
    <row r="5" spans="1:7" x14ac:dyDescent="0.35">
      <c r="A5" s="9" t="s">
        <v>77</v>
      </c>
      <c r="B5" s="3" t="s">
        <v>410</v>
      </c>
      <c r="C5" s="3" t="s">
        <v>121</v>
      </c>
      <c r="D5" s="3" t="s">
        <v>411</v>
      </c>
      <c r="E5" s="3" t="s">
        <v>412</v>
      </c>
      <c r="F5" s="3" t="s">
        <v>124</v>
      </c>
      <c r="G5" s="10"/>
    </row>
    <row r="6" spans="1:7" x14ac:dyDescent="0.35">
      <c r="A6" s="9" t="s">
        <v>77</v>
      </c>
      <c r="B6" s="3" t="s">
        <v>413</v>
      </c>
      <c r="C6" s="3" t="s">
        <v>153</v>
      </c>
      <c r="D6" s="3" t="s">
        <v>411</v>
      </c>
      <c r="E6" s="3" t="s">
        <v>412</v>
      </c>
      <c r="F6" s="3" t="s">
        <v>124</v>
      </c>
      <c r="G6" s="10"/>
    </row>
    <row r="7" spans="1:7" x14ac:dyDescent="0.35">
      <c r="A7" s="9" t="s">
        <v>77</v>
      </c>
      <c r="B7" s="3" t="s">
        <v>414</v>
      </c>
      <c r="C7" s="3" t="s">
        <v>243</v>
      </c>
      <c r="D7" s="3" t="s">
        <v>411</v>
      </c>
      <c r="E7" s="3" t="s">
        <v>412</v>
      </c>
      <c r="F7" s="3" t="s">
        <v>124</v>
      </c>
      <c r="G7" s="10"/>
    </row>
    <row r="8" spans="1:7" x14ac:dyDescent="0.35">
      <c r="A8" s="9" t="s">
        <v>77</v>
      </c>
      <c r="B8" s="3" t="s">
        <v>415</v>
      </c>
      <c r="C8" s="3" t="s">
        <v>158</v>
      </c>
      <c r="D8" s="3" t="s">
        <v>411</v>
      </c>
      <c r="E8" s="3" t="s">
        <v>412</v>
      </c>
      <c r="F8" s="3" t="s">
        <v>124</v>
      </c>
      <c r="G8" s="10"/>
    </row>
    <row r="9" spans="1:7" x14ac:dyDescent="0.35">
      <c r="A9" s="9" t="s">
        <v>77</v>
      </c>
      <c r="B9" s="3" t="s">
        <v>416</v>
      </c>
      <c r="C9" s="3" t="s">
        <v>158</v>
      </c>
      <c r="D9" s="3" t="s">
        <v>411</v>
      </c>
      <c r="E9" s="3" t="s">
        <v>412</v>
      </c>
      <c r="F9" s="3" t="s">
        <v>124</v>
      </c>
      <c r="G9" s="10"/>
    </row>
    <row r="10" spans="1:7" x14ac:dyDescent="0.35">
      <c r="A10" s="9" t="s">
        <v>82</v>
      </c>
      <c r="B10" s="3" t="s">
        <v>417</v>
      </c>
      <c r="C10" s="3" t="s">
        <v>188</v>
      </c>
      <c r="D10" s="3" t="s">
        <v>411</v>
      </c>
      <c r="E10" s="3" t="s">
        <v>412</v>
      </c>
      <c r="F10" s="3" t="s">
        <v>124</v>
      </c>
      <c r="G10" s="10"/>
    </row>
    <row r="11" spans="1:7" x14ac:dyDescent="0.35">
      <c r="A11" s="9" t="s">
        <v>82</v>
      </c>
      <c r="B11" s="3" t="s">
        <v>418</v>
      </c>
      <c r="C11" s="3" t="s">
        <v>243</v>
      </c>
      <c r="D11" s="3" t="s">
        <v>411</v>
      </c>
      <c r="E11" s="3" t="s">
        <v>412</v>
      </c>
      <c r="F11" s="3" t="s">
        <v>124</v>
      </c>
      <c r="G11" s="10"/>
    </row>
    <row r="12" spans="1:7" x14ac:dyDescent="0.35">
      <c r="A12" s="9" t="s">
        <v>82</v>
      </c>
      <c r="B12" s="3" t="s">
        <v>419</v>
      </c>
      <c r="C12" s="3" t="s">
        <v>420</v>
      </c>
      <c r="D12" s="3" t="s">
        <v>411</v>
      </c>
      <c r="E12" s="3" t="s">
        <v>412</v>
      </c>
      <c r="F12" s="3" t="s">
        <v>124</v>
      </c>
      <c r="G12" s="10"/>
    </row>
    <row r="13" spans="1:7" x14ac:dyDescent="0.35">
      <c r="A13" s="9" t="s">
        <v>82</v>
      </c>
      <c r="B13" s="3" t="s">
        <v>421</v>
      </c>
      <c r="C13" s="3" t="s">
        <v>158</v>
      </c>
      <c r="D13" s="3" t="s">
        <v>411</v>
      </c>
      <c r="E13" s="3" t="s">
        <v>412</v>
      </c>
      <c r="F13" s="3" t="s">
        <v>124</v>
      </c>
      <c r="G13" s="10"/>
    </row>
    <row r="14" spans="1:7" x14ac:dyDescent="0.35">
      <c r="A14" s="9" t="s">
        <v>82</v>
      </c>
      <c r="B14" s="3" t="s">
        <v>422</v>
      </c>
      <c r="C14" s="3" t="s">
        <v>188</v>
      </c>
      <c r="D14" s="3" t="s">
        <v>411</v>
      </c>
      <c r="E14" s="3" t="s">
        <v>412</v>
      </c>
      <c r="F14" s="3" t="s">
        <v>124</v>
      </c>
      <c r="G14" s="10"/>
    </row>
    <row r="15" spans="1:7" x14ac:dyDescent="0.35">
      <c r="A15" s="9" t="s">
        <v>85</v>
      </c>
      <c r="B15" s="3" t="s">
        <v>423</v>
      </c>
      <c r="C15" s="3" t="s">
        <v>243</v>
      </c>
      <c r="D15" s="3" t="s">
        <v>411</v>
      </c>
      <c r="E15" s="3" t="s">
        <v>412</v>
      </c>
      <c r="F15" s="3" t="s">
        <v>124</v>
      </c>
      <c r="G15" s="10"/>
    </row>
    <row r="16" spans="1:7" x14ac:dyDescent="0.35">
      <c r="A16" s="9" t="s">
        <v>85</v>
      </c>
      <c r="B16" s="3" t="s">
        <v>424</v>
      </c>
      <c r="C16" s="3" t="s">
        <v>238</v>
      </c>
      <c r="D16" s="3" t="s">
        <v>411</v>
      </c>
      <c r="E16" s="3" t="s">
        <v>412</v>
      </c>
      <c r="F16" s="3" t="s">
        <v>124</v>
      </c>
      <c r="G16" s="10"/>
    </row>
    <row r="17" spans="1:7" x14ac:dyDescent="0.35">
      <c r="A17" s="9" t="s">
        <v>85</v>
      </c>
      <c r="B17" s="3" t="s">
        <v>425</v>
      </c>
      <c r="C17" s="3" t="s">
        <v>158</v>
      </c>
      <c r="D17" s="3" t="s">
        <v>411</v>
      </c>
      <c r="E17" s="3" t="s">
        <v>412</v>
      </c>
      <c r="F17" s="3" t="s">
        <v>124</v>
      </c>
      <c r="G17" s="10"/>
    </row>
    <row r="18" spans="1:7" x14ac:dyDescent="0.35">
      <c r="A18" s="9" t="s">
        <v>85</v>
      </c>
      <c r="B18" s="3" t="s">
        <v>426</v>
      </c>
      <c r="C18" s="3" t="s">
        <v>158</v>
      </c>
      <c r="D18" s="3" t="s">
        <v>411</v>
      </c>
      <c r="E18" s="3" t="s">
        <v>412</v>
      </c>
      <c r="F18" s="3" t="s">
        <v>124</v>
      </c>
      <c r="G18" s="10"/>
    </row>
    <row r="19" spans="1:7" x14ac:dyDescent="0.35">
      <c r="A19" s="9" t="s">
        <v>85</v>
      </c>
      <c r="B19" s="3" t="s">
        <v>427</v>
      </c>
      <c r="C19" s="3" t="s">
        <v>121</v>
      </c>
      <c r="D19" s="3" t="s">
        <v>411</v>
      </c>
      <c r="E19" s="3" t="s">
        <v>412</v>
      </c>
      <c r="F19" s="3" t="s">
        <v>124</v>
      </c>
      <c r="G19" s="10"/>
    </row>
    <row r="20" spans="1:7" x14ac:dyDescent="0.35">
      <c r="A20" s="9" t="s">
        <v>88</v>
      </c>
      <c r="B20" s="3" t="s">
        <v>428</v>
      </c>
      <c r="C20" s="3" t="s">
        <v>158</v>
      </c>
      <c r="D20" s="3" t="s">
        <v>411</v>
      </c>
      <c r="E20" s="3" t="s">
        <v>412</v>
      </c>
      <c r="F20" s="3" t="s">
        <v>124</v>
      </c>
      <c r="G20" s="10"/>
    </row>
    <row r="21" spans="1:7" x14ac:dyDescent="0.35">
      <c r="A21" s="9" t="s">
        <v>88</v>
      </c>
      <c r="B21" s="3" t="s">
        <v>429</v>
      </c>
      <c r="C21" s="3" t="s">
        <v>243</v>
      </c>
      <c r="D21" s="3" t="s">
        <v>411</v>
      </c>
      <c r="E21" s="3" t="s">
        <v>412</v>
      </c>
      <c r="F21" s="3" t="s">
        <v>124</v>
      </c>
      <c r="G21" s="10"/>
    </row>
    <row r="22" spans="1:7" x14ac:dyDescent="0.35">
      <c r="A22" s="9" t="s">
        <v>88</v>
      </c>
      <c r="B22" s="3" t="s">
        <v>430</v>
      </c>
      <c r="C22" s="3" t="s">
        <v>238</v>
      </c>
      <c r="D22" s="3" t="s">
        <v>411</v>
      </c>
      <c r="E22" s="3" t="s">
        <v>412</v>
      </c>
      <c r="F22" s="3" t="s">
        <v>124</v>
      </c>
      <c r="G22" s="10"/>
    </row>
    <row r="23" spans="1:7" x14ac:dyDescent="0.35">
      <c r="A23" s="9" t="s">
        <v>88</v>
      </c>
      <c r="B23" s="3" t="s">
        <v>431</v>
      </c>
      <c r="C23" s="3" t="s">
        <v>121</v>
      </c>
      <c r="D23" s="3" t="s">
        <v>411</v>
      </c>
      <c r="E23" s="3" t="s">
        <v>412</v>
      </c>
      <c r="F23" s="3" t="s">
        <v>124</v>
      </c>
      <c r="G23" s="10"/>
    </row>
    <row r="24" spans="1:7" x14ac:dyDescent="0.35">
      <c r="A24" s="9" t="s">
        <v>88</v>
      </c>
      <c r="B24" s="3" t="s">
        <v>432</v>
      </c>
      <c r="C24" s="3" t="s">
        <v>243</v>
      </c>
      <c r="D24" s="3" t="s">
        <v>411</v>
      </c>
      <c r="E24" s="3" t="s">
        <v>412</v>
      </c>
      <c r="F24" s="3" t="s">
        <v>124</v>
      </c>
      <c r="G24" s="10"/>
    </row>
    <row r="25" spans="1:7" x14ac:dyDescent="0.35">
      <c r="A25" s="9" t="s">
        <v>92</v>
      </c>
      <c r="B25" s="3" t="s">
        <v>433</v>
      </c>
      <c r="C25" s="3" t="s">
        <v>243</v>
      </c>
      <c r="D25" s="3" t="s">
        <v>411</v>
      </c>
      <c r="E25" s="3" t="s">
        <v>412</v>
      </c>
      <c r="F25" s="3" t="s">
        <v>124</v>
      </c>
      <c r="G25" s="10"/>
    </row>
    <row r="26" spans="1:7" x14ac:dyDescent="0.35">
      <c r="A26" s="9" t="s">
        <v>92</v>
      </c>
      <c r="B26" s="3" t="s">
        <v>434</v>
      </c>
      <c r="C26" s="3" t="s">
        <v>121</v>
      </c>
      <c r="D26" s="3" t="s">
        <v>411</v>
      </c>
      <c r="E26" s="3" t="s">
        <v>412</v>
      </c>
      <c r="F26" s="3" t="s">
        <v>124</v>
      </c>
      <c r="G26" s="10"/>
    </row>
    <row r="27" spans="1:7" x14ac:dyDescent="0.35">
      <c r="A27" s="9" t="s">
        <v>92</v>
      </c>
      <c r="B27" s="3" t="s">
        <v>435</v>
      </c>
      <c r="C27" s="3" t="s">
        <v>121</v>
      </c>
      <c r="D27" s="3" t="s">
        <v>411</v>
      </c>
      <c r="E27" s="3" t="s">
        <v>412</v>
      </c>
      <c r="F27" s="3" t="s">
        <v>124</v>
      </c>
      <c r="G27" s="10"/>
    </row>
    <row r="28" spans="1:7" x14ac:dyDescent="0.35">
      <c r="A28" s="9" t="s">
        <v>92</v>
      </c>
      <c r="B28" s="3" t="s">
        <v>436</v>
      </c>
      <c r="C28" s="3" t="s">
        <v>172</v>
      </c>
      <c r="D28" s="3" t="s">
        <v>411</v>
      </c>
      <c r="E28" s="3" t="s">
        <v>412</v>
      </c>
      <c r="F28" s="3" t="s">
        <v>124</v>
      </c>
      <c r="G28" s="10"/>
    </row>
    <row r="29" spans="1:7" x14ac:dyDescent="0.35">
      <c r="A29" s="17" t="s">
        <v>92</v>
      </c>
      <c r="B29" s="18" t="s">
        <v>437</v>
      </c>
      <c r="C29" s="18" t="s">
        <v>93</v>
      </c>
      <c r="D29" s="18" t="s">
        <v>411</v>
      </c>
      <c r="E29" s="18" t="s">
        <v>412</v>
      </c>
      <c r="F29" s="18" t="s">
        <v>124</v>
      </c>
      <c r="G29" s="19"/>
    </row>
  </sheetData>
  <mergeCells count="2">
    <mergeCell ref="A2:G2"/>
    <mergeCell ref="A1:G1"/>
  </mergeCells>
  <dataValidations count="1">
    <dataValidation type="list" sqref="F5:F29" xr:uid="{00000000-0002-0000-0500-000000000000}">
      <formula1>"Not Started,In Progress,Complete,Blocked"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6"/>
  <sheetViews>
    <sheetView showGridLines="0" workbookViewId="0">
      <selection activeCell="C16" sqref="C16"/>
    </sheetView>
  </sheetViews>
  <sheetFormatPr defaultRowHeight="14.5" x14ac:dyDescent="0.35"/>
  <cols>
    <col min="1" max="1" width="10" customWidth="1"/>
    <col min="2" max="2" width="16" customWidth="1"/>
    <col min="3" max="3" width="60" customWidth="1"/>
    <col min="4" max="4" width="28" customWidth="1"/>
    <col min="5" max="6" width="14" customWidth="1"/>
    <col min="7" max="7" width="16" customWidth="1"/>
    <col min="8" max="8" width="18" customWidth="1"/>
    <col min="9" max="9" width="22" customWidth="1"/>
    <col min="10" max="10" width="58" customWidth="1"/>
    <col min="11" max="11" width="16" customWidth="1"/>
    <col min="12" max="12" width="12" customWidth="1"/>
  </cols>
  <sheetData>
    <row r="1" spans="1:12" ht="30" customHeight="1" x14ac:dyDescent="0.35">
      <c r="A1" s="30" t="s">
        <v>438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35">
      <c r="A2" s="28" t="s">
        <v>439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21" t="s">
        <v>440</v>
      </c>
      <c r="B4" s="22" t="s">
        <v>441</v>
      </c>
      <c r="C4" s="22" t="s">
        <v>442</v>
      </c>
      <c r="D4" s="22" t="s">
        <v>443</v>
      </c>
      <c r="E4" s="22" t="s">
        <v>444</v>
      </c>
      <c r="F4" s="22" t="s">
        <v>445</v>
      </c>
      <c r="G4" s="22" t="s">
        <v>446</v>
      </c>
      <c r="H4" s="22" t="s">
        <v>447</v>
      </c>
      <c r="I4" s="22" t="s">
        <v>448</v>
      </c>
      <c r="J4" s="22" t="s">
        <v>449</v>
      </c>
      <c r="K4" s="22" t="s">
        <v>107</v>
      </c>
      <c r="L4" s="23" t="s">
        <v>110</v>
      </c>
    </row>
    <row r="5" spans="1:12" x14ac:dyDescent="0.35">
      <c r="A5" s="9" t="s">
        <v>450</v>
      </c>
      <c r="B5" s="3" t="s">
        <v>451</v>
      </c>
      <c r="C5" s="3" t="s">
        <v>452</v>
      </c>
      <c r="D5" s="3" t="s">
        <v>453</v>
      </c>
      <c r="E5" s="3" t="s">
        <v>190</v>
      </c>
      <c r="F5" s="3">
        <v>3</v>
      </c>
      <c r="G5" s="3">
        <v>3</v>
      </c>
      <c r="H5" s="3" t="s">
        <v>454</v>
      </c>
      <c r="I5" s="3" t="s">
        <v>455</v>
      </c>
      <c r="J5" s="3" t="s">
        <v>456</v>
      </c>
      <c r="K5" s="3" t="s">
        <v>124</v>
      </c>
      <c r="L5" s="10" t="s">
        <v>398</v>
      </c>
    </row>
    <row r="6" spans="1:12" x14ac:dyDescent="0.35">
      <c r="A6" s="9" t="s">
        <v>457</v>
      </c>
      <c r="B6" s="3" t="s">
        <v>451</v>
      </c>
      <c r="C6" s="3" t="s">
        <v>458</v>
      </c>
      <c r="D6" s="3" t="s">
        <v>459</v>
      </c>
      <c r="E6" s="3" t="s">
        <v>190</v>
      </c>
      <c r="F6" s="3">
        <v>3</v>
      </c>
      <c r="G6" s="3">
        <v>3</v>
      </c>
      <c r="H6" s="3" t="s">
        <v>454</v>
      </c>
      <c r="I6" s="3" t="s">
        <v>455</v>
      </c>
      <c r="J6" s="3" t="s">
        <v>460</v>
      </c>
      <c r="K6" s="3" t="s">
        <v>124</v>
      </c>
      <c r="L6" s="10" t="s">
        <v>398</v>
      </c>
    </row>
    <row r="7" spans="1:12" x14ac:dyDescent="0.35">
      <c r="A7" s="9" t="s">
        <v>461</v>
      </c>
      <c r="B7" s="3" t="s">
        <v>462</v>
      </c>
      <c r="C7" s="3" t="s">
        <v>463</v>
      </c>
      <c r="D7" s="3" t="s">
        <v>464</v>
      </c>
      <c r="E7" s="3" t="s">
        <v>203</v>
      </c>
      <c r="F7" s="3">
        <v>3</v>
      </c>
      <c r="G7" s="3">
        <v>3</v>
      </c>
      <c r="H7" s="3" t="s">
        <v>465</v>
      </c>
      <c r="I7" s="3" t="s">
        <v>466</v>
      </c>
      <c r="J7" s="3" t="s">
        <v>467</v>
      </c>
      <c r="K7" s="3" t="s">
        <v>124</v>
      </c>
      <c r="L7" s="10" t="s">
        <v>398</v>
      </c>
    </row>
    <row r="8" spans="1:12" x14ac:dyDescent="0.35">
      <c r="A8" s="9" t="s">
        <v>468</v>
      </c>
      <c r="B8" s="3" t="s">
        <v>196</v>
      </c>
      <c r="C8" s="3" t="s">
        <v>469</v>
      </c>
      <c r="D8" s="3" t="s">
        <v>198</v>
      </c>
      <c r="E8" s="3" t="s">
        <v>195</v>
      </c>
      <c r="F8" s="3">
        <v>3</v>
      </c>
      <c r="G8" s="3">
        <v>3</v>
      </c>
      <c r="H8" s="3" t="s">
        <v>465</v>
      </c>
      <c r="I8" s="3" t="s">
        <v>196</v>
      </c>
      <c r="J8" s="3" t="s">
        <v>470</v>
      </c>
      <c r="K8" s="3" t="s">
        <v>124</v>
      </c>
      <c r="L8" s="10" t="s">
        <v>400</v>
      </c>
    </row>
    <row r="9" spans="1:12" x14ac:dyDescent="0.35">
      <c r="A9" s="9" t="s">
        <v>471</v>
      </c>
      <c r="B9" s="3" t="s">
        <v>156</v>
      </c>
      <c r="C9" s="3" t="s">
        <v>472</v>
      </c>
      <c r="D9" s="3" t="s">
        <v>158</v>
      </c>
      <c r="E9" s="3" t="s">
        <v>215</v>
      </c>
      <c r="F9" s="3">
        <v>4</v>
      </c>
      <c r="G9" s="3">
        <v>4</v>
      </c>
      <c r="H9" s="3" t="s">
        <v>465</v>
      </c>
      <c r="I9" s="3" t="s">
        <v>455</v>
      </c>
      <c r="J9" s="3" t="s">
        <v>473</v>
      </c>
      <c r="K9" s="3" t="s">
        <v>124</v>
      </c>
      <c r="L9" s="10" t="s">
        <v>398</v>
      </c>
    </row>
    <row r="10" spans="1:12" x14ac:dyDescent="0.35">
      <c r="A10" s="9" t="s">
        <v>474</v>
      </c>
      <c r="B10" s="3" t="s">
        <v>475</v>
      </c>
      <c r="C10" s="3" t="s">
        <v>476</v>
      </c>
      <c r="D10" s="3" t="s">
        <v>477</v>
      </c>
      <c r="E10" s="3" t="s">
        <v>185</v>
      </c>
      <c r="F10" s="3">
        <v>3</v>
      </c>
      <c r="G10" s="3">
        <v>3</v>
      </c>
      <c r="H10" s="3" t="s">
        <v>454</v>
      </c>
      <c r="I10" s="3" t="s">
        <v>455</v>
      </c>
      <c r="J10" s="3" t="s">
        <v>478</v>
      </c>
      <c r="K10" s="3" t="s">
        <v>124</v>
      </c>
      <c r="L10" s="10" t="s">
        <v>400</v>
      </c>
    </row>
    <row r="11" spans="1:12" x14ac:dyDescent="0.35">
      <c r="A11" s="9" t="s">
        <v>479</v>
      </c>
      <c r="B11" s="3" t="s">
        <v>241</v>
      </c>
      <c r="C11" s="3" t="s">
        <v>480</v>
      </c>
      <c r="D11" s="3" t="s">
        <v>481</v>
      </c>
      <c r="E11" s="3" t="s">
        <v>231</v>
      </c>
      <c r="F11" s="3">
        <v>5</v>
      </c>
      <c r="G11" s="3">
        <v>5</v>
      </c>
      <c r="H11" s="3" t="s">
        <v>482</v>
      </c>
      <c r="I11" s="3" t="s">
        <v>483</v>
      </c>
      <c r="J11" s="3" t="s">
        <v>484</v>
      </c>
      <c r="K11" s="3" t="s">
        <v>124</v>
      </c>
      <c r="L11" s="10" t="s">
        <v>400</v>
      </c>
    </row>
    <row r="12" spans="1:12" x14ac:dyDescent="0.35">
      <c r="A12" s="9" t="s">
        <v>485</v>
      </c>
      <c r="B12" s="3" t="s">
        <v>462</v>
      </c>
      <c r="C12" s="3" t="s">
        <v>486</v>
      </c>
      <c r="D12" s="3" t="s">
        <v>148</v>
      </c>
      <c r="E12" s="3" t="s">
        <v>219</v>
      </c>
      <c r="F12" s="3">
        <v>4</v>
      </c>
      <c r="G12" s="3">
        <v>4</v>
      </c>
      <c r="H12" s="3" t="s">
        <v>465</v>
      </c>
      <c r="I12" s="3" t="s">
        <v>487</v>
      </c>
      <c r="J12" s="3" t="s">
        <v>488</v>
      </c>
      <c r="K12" s="3" t="s">
        <v>124</v>
      </c>
      <c r="L12" s="10" t="s">
        <v>400</v>
      </c>
    </row>
    <row r="13" spans="1:12" x14ac:dyDescent="0.35">
      <c r="A13" s="9" t="s">
        <v>489</v>
      </c>
      <c r="B13" s="3" t="s">
        <v>490</v>
      </c>
      <c r="C13" s="3" t="s">
        <v>491</v>
      </c>
      <c r="D13" s="3" t="s">
        <v>492</v>
      </c>
      <c r="E13" s="3" t="s">
        <v>203</v>
      </c>
      <c r="F13" s="3">
        <v>3</v>
      </c>
      <c r="G13" s="3">
        <v>3</v>
      </c>
      <c r="H13" s="3" t="s">
        <v>465</v>
      </c>
      <c r="I13" s="3" t="s">
        <v>466</v>
      </c>
      <c r="J13" s="3" t="s">
        <v>493</v>
      </c>
      <c r="K13" s="3" t="s">
        <v>124</v>
      </c>
      <c r="L13" s="10" t="s">
        <v>400</v>
      </c>
    </row>
    <row r="14" spans="1:12" x14ac:dyDescent="0.35">
      <c r="A14" s="9" t="s">
        <v>494</v>
      </c>
      <c r="B14" s="3" t="s">
        <v>495</v>
      </c>
      <c r="C14" s="3" t="s">
        <v>496</v>
      </c>
      <c r="D14" s="3" t="s">
        <v>497</v>
      </c>
      <c r="E14" s="3" t="s">
        <v>275</v>
      </c>
      <c r="F14" s="3">
        <v>8</v>
      </c>
      <c r="G14" s="3">
        <v>8</v>
      </c>
      <c r="H14" s="3" t="s">
        <v>482</v>
      </c>
      <c r="I14" s="3" t="s">
        <v>360</v>
      </c>
      <c r="J14" s="3" t="s">
        <v>498</v>
      </c>
      <c r="K14" s="3" t="s">
        <v>124</v>
      </c>
      <c r="L14" s="10" t="s">
        <v>400</v>
      </c>
    </row>
    <row r="15" spans="1:12" x14ac:dyDescent="0.35">
      <c r="A15" s="9" t="s">
        <v>499</v>
      </c>
      <c r="B15" s="3" t="s">
        <v>255</v>
      </c>
      <c r="C15" s="3" t="s">
        <v>500</v>
      </c>
      <c r="D15" s="3" t="s">
        <v>238</v>
      </c>
      <c r="E15" s="3" t="s">
        <v>281</v>
      </c>
      <c r="F15" s="3">
        <v>8</v>
      </c>
      <c r="G15" s="3">
        <v>8</v>
      </c>
      <c r="H15" s="3" t="s">
        <v>482</v>
      </c>
      <c r="I15" s="3" t="s">
        <v>501</v>
      </c>
      <c r="J15" s="3" t="s">
        <v>502</v>
      </c>
      <c r="K15" s="3" t="s">
        <v>124</v>
      </c>
      <c r="L15" s="10" t="s">
        <v>402</v>
      </c>
    </row>
    <row r="16" spans="1:12" x14ac:dyDescent="0.35">
      <c r="A16" s="17" t="s">
        <v>503</v>
      </c>
      <c r="B16" s="18" t="s">
        <v>504</v>
      </c>
      <c r="C16" s="18" t="s">
        <v>505</v>
      </c>
      <c r="D16" s="18" t="s">
        <v>506</v>
      </c>
      <c r="E16" s="18" t="s">
        <v>455</v>
      </c>
      <c r="F16" s="18" t="s">
        <v>507</v>
      </c>
      <c r="G16" s="18" t="s">
        <v>508</v>
      </c>
      <c r="H16" s="18" t="s">
        <v>509</v>
      </c>
      <c r="I16" s="18" t="s">
        <v>455</v>
      </c>
      <c r="J16" s="18" t="s">
        <v>510</v>
      </c>
      <c r="K16" s="18" t="s">
        <v>124</v>
      </c>
      <c r="L16" s="19" t="s">
        <v>402</v>
      </c>
    </row>
  </sheetData>
  <mergeCells count="2">
    <mergeCell ref="A2:L2"/>
    <mergeCell ref="A1:L1"/>
  </mergeCells>
  <dataValidations count="1">
    <dataValidation type="list" sqref="K5:K16" xr:uid="{00000000-0002-0000-0600-000000000000}">
      <formula1>"Not Started,In Progress,Complete,Blocked"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"/>
  <sheetViews>
    <sheetView showGridLines="0" workbookViewId="0">
      <selection activeCell="O10" sqref="O10"/>
    </sheetView>
  </sheetViews>
  <sheetFormatPr defaultRowHeight="14.5" x14ac:dyDescent="0.35"/>
  <cols>
    <col min="1" max="1" width="10" customWidth="1"/>
    <col min="2" max="2" width="16" customWidth="1"/>
    <col min="3" max="3" width="55" customWidth="1"/>
    <col min="4" max="4" width="42" customWidth="1"/>
    <col min="5" max="5" width="20" customWidth="1"/>
    <col min="6" max="7" width="10" customWidth="1"/>
    <col min="8" max="8" width="65" customWidth="1"/>
    <col min="9" max="9" width="55" customWidth="1"/>
    <col min="10" max="10" width="40" customWidth="1"/>
    <col min="11" max="11" width="25" customWidth="1"/>
    <col min="12" max="12" width="12" customWidth="1"/>
    <col min="13" max="14" width="14" customWidth="1"/>
    <col min="15" max="15" width="38" customWidth="1"/>
  </cols>
  <sheetData>
    <row r="1" spans="1:15" ht="30" customHeight="1" x14ac:dyDescent="0.35">
      <c r="A1" s="30" t="s">
        <v>511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35">
      <c r="A2" s="28" t="s">
        <v>512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5">
      <c r="A4" s="24" t="s">
        <v>440</v>
      </c>
      <c r="B4" s="25" t="s">
        <v>441</v>
      </c>
      <c r="C4" s="25" t="s">
        <v>513</v>
      </c>
      <c r="D4" s="25" t="s">
        <v>514</v>
      </c>
      <c r="E4" s="25" t="s">
        <v>515</v>
      </c>
      <c r="F4" s="25" t="s">
        <v>516</v>
      </c>
      <c r="G4" s="25" t="s">
        <v>110</v>
      </c>
      <c r="H4" s="25" t="s">
        <v>517</v>
      </c>
      <c r="I4" s="25" t="s">
        <v>518</v>
      </c>
      <c r="J4" s="25" t="s">
        <v>519</v>
      </c>
      <c r="K4" s="25" t="s">
        <v>100</v>
      </c>
      <c r="L4" s="25" t="s">
        <v>520</v>
      </c>
      <c r="M4" s="25" t="s">
        <v>521</v>
      </c>
      <c r="N4" s="25" t="s">
        <v>107</v>
      </c>
      <c r="O4" s="26" t="s">
        <v>522</v>
      </c>
    </row>
    <row r="5" spans="1:15" x14ac:dyDescent="0.35">
      <c r="A5" s="9" t="s">
        <v>523</v>
      </c>
      <c r="B5" s="3" t="s">
        <v>250</v>
      </c>
      <c r="C5" s="3" t="s">
        <v>524</v>
      </c>
      <c r="D5" s="3" t="s">
        <v>525</v>
      </c>
      <c r="E5" s="3" t="s">
        <v>526</v>
      </c>
      <c r="F5" s="3">
        <v>16</v>
      </c>
      <c r="G5" s="3" t="s">
        <v>398</v>
      </c>
      <c r="H5" s="3" t="s">
        <v>527</v>
      </c>
      <c r="I5" s="3" t="s">
        <v>528</v>
      </c>
      <c r="J5" s="3" t="s">
        <v>529</v>
      </c>
      <c r="K5" s="3" t="s">
        <v>188</v>
      </c>
      <c r="L5" s="3">
        <v>5</v>
      </c>
      <c r="M5" s="3" t="s">
        <v>400</v>
      </c>
      <c r="N5" s="3" t="s">
        <v>530</v>
      </c>
      <c r="O5" s="10"/>
    </row>
    <row r="6" spans="1:15" x14ac:dyDescent="0.35">
      <c r="A6" s="9" t="s">
        <v>531</v>
      </c>
      <c r="B6" s="3" t="s">
        <v>250</v>
      </c>
      <c r="C6" s="3" t="s">
        <v>532</v>
      </c>
      <c r="D6" s="3" t="s">
        <v>533</v>
      </c>
      <c r="E6" s="3" t="s">
        <v>534</v>
      </c>
      <c r="F6" s="3">
        <v>16</v>
      </c>
      <c r="G6" s="3" t="s">
        <v>398</v>
      </c>
      <c r="H6" s="3" t="s">
        <v>535</v>
      </c>
      <c r="I6" s="3" t="s">
        <v>536</v>
      </c>
      <c r="J6" s="3" t="s">
        <v>537</v>
      </c>
      <c r="K6" s="3" t="s">
        <v>252</v>
      </c>
      <c r="L6" s="3">
        <v>5</v>
      </c>
      <c r="M6" s="3" t="s">
        <v>400</v>
      </c>
      <c r="N6" s="3" t="s">
        <v>530</v>
      </c>
      <c r="O6" s="10"/>
    </row>
    <row r="7" spans="1:15" x14ac:dyDescent="0.35">
      <c r="A7" s="9" t="s">
        <v>538</v>
      </c>
      <c r="B7" s="3" t="s">
        <v>255</v>
      </c>
      <c r="C7" s="3" t="s">
        <v>539</v>
      </c>
      <c r="D7" s="3" t="s">
        <v>540</v>
      </c>
      <c r="E7" s="3" t="s">
        <v>541</v>
      </c>
      <c r="F7" s="3">
        <v>12</v>
      </c>
      <c r="G7" s="3" t="s">
        <v>400</v>
      </c>
      <c r="H7" s="3" t="s">
        <v>542</v>
      </c>
      <c r="I7" s="3" t="s">
        <v>543</v>
      </c>
      <c r="J7" s="3" t="s">
        <v>544</v>
      </c>
      <c r="K7" s="3" t="s">
        <v>238</v>
      </c>
      <c r="L7" s="3">
        <v>8</v>
      </c>
      <c r="M7" s="3" t="s">
        <v>400</v>
      </c>
      <c r="N7" s="3" t="s">
        <v>530</v>
      </c>
      <c r="O7" s="10"/>
    </row>
    <row r="8" spans="1:15" x14ac:dyDescent="0.35">
      <c r="A8" s="9" t="s">
        <v>545</v>
      </c>
      <c r="B8" s="3" t="s">
        <v>156</v>
      </c>
      <c r="C8" s="3" t="s">
        <v>546</v>
      </c>
      <c r="D8" s="3" t="s">
        <v>547</v>
      </c>
      <c r="E8" s="3" t="s">
        <v>548</v>
      </c>
      <c r="F8" s="3">
        <v>16</v>
      </c>
      <c r="G8" s="3" t="s">
        <v>398</v>
      </c>
      <c r="H8" s="3" t="s">
        <v>549</v>
      </c>
      <c r="I8" s="3" t="s">
        <v>550</v>
      </c>
      <c r="J8" s="3" t="s">
        <v>551</v>
      </c>
      <c r="K8" s="3" t="s">
        <v>158</v>
      </c>
      <c r="L8" s="3">
        <v>4</v>
      </c>
      <c r="M8" s="3" t="s">
        <v>400</v>
      </c>
      <c r="N8" s="3" t="s">
        <v>530</v>
      </c>
      <c r="O8" s="10"/>
    </row>
    <row r="9" spans="1:15" x14ac:dyDescent="0.35">
      <c r="A9" s="9" t="s">
        <v>552</v>
      </c>
      <c r="B9" s="3" t="s">
        <v>196</v>
      </c>
      <c r="C9" s="3" t="s">
        <v>553</v>
      </c>
      <c r="D9" s="3" t="s">
        <v>554</v>
      </c>
      <c r="E9" s="3" t="s">
        <v>555</v>
      </c>
      <c r="F9" s="3">
        <v>15</v>
      </c>
      <c r="G9" s="3" t="s">
        <v>398</v>
      </c>
      <c r="H9" s="3" t="s">
        <v>556</v>
      </c>
      <c r="I9" s="3" t="s">
        <v>557</v>
      </c>
      <c r="J9" s="3" t="s">
        <v>558</v>
      </c>
      <c r="K9" s="3" t="s">
        <v>198</v>
      </c>
      <c r="L9" s="3">
        <v>4</v>
      </c>
      <c r="M9" s="3" t="s">
        <v>400</v>
      </c>
      <c r="N9" s="3" t="s">
        <v>530</v>
      </c>
      <c r="O9" s="10"/>
    </row>
    <row r="10" spans="1:15" ht="29" customHeight="1" x14ac:dyDescent="0.35">
      <c r="A10" s="9" t="s">
        <v>559</v>
      </c>
      <c r="B10" s="3" t="s">
        <v>322</v>
      </c>
      <c r="C10" s="3" t="s">
        <v>560</v>
      </c>
      <c r="D10" s="3" t="s">
        <v>561</v>
      </c>
      <c r="E10" s="3" t="s">
        <v>321</v>
      </c>
      <c r="F10" s="3">
        <v>12</v>
      </c>
      <c r="G10" s="3" t="s">
        <v>400</v>
      </c>
      <c r="H10" s="3" t="s">
        <v>562</v>
      </c>
      <c r="I10" s="3" t="s">
        <v>563</v>
      </c>
      <c r="J10" s="3" t="s">
        <v>564</v>
      </c>
      <c r="K10" s="3" t="s">
        <v>188</v>
      </c>
      <c r="L10" s="3">
        <v>14</v>
      </c>
      <c r="M10" s="3" t="s">
        <v>402</v>
      </c>
      <c r="N10" s="3" t="s">
        <v>530</v>
      </c>
      <c r="O10" s="10"/>
    </row>
    <row r="11" spans="1:15" x14ac:dyDescent="0.35">
      <c r="A11" s="9" t="s">
        <v>565</v>
      </c>
      <c r="B11" s="3" t="s">
        <v>490</v>
      </c>
      <c r="C11" s="3" t="s">
        <v>566</v>
      </c>
      <c r="D11" s="3" t="s">
        <v>567</v>
      </c>
      <c r="E11" s="3" t="s">
        <v>568</v>
      </c>
      <c r="F11" s="3">
        <v>12</v>
      </c>
      <c r="G11" s="3" t="s">
        <v>400</v>
      </c>
      <c r="H11" s="3" t="s">
        <v>569</v>
      </c>
      <c r="I11" s="3" t="s">
        <v>570</v>
      </c>
      <c r="J11" s="3" t="s">
        <v>571</v>
      </c>
      <c r="K11" s="3" t="s">
        <v>193</v>
      </c>
      <c r="L11" s="3">
        <v>4</v>
      </c>
      <c r="M11" s="3" t="s">
        <v>402</v>
      </c>
      <c r="N11" s="3" t="s">
        <v>530</v>
      </c>
      <c r="O11" s="10"/>
    </row>
    <row r="12" spans="1:15" x14ac:dyDescent="0.35">
      <c r="A12" s="9" t="s">
        <v>572</v>
      </c>
      <c r="B12" s="3" t="s">
        <v>241</v>
      </c>
      <c r="C12" s="3" t="s">
        <v>573</v>
      </c>
      <c r="D12" s="3" t="s">
        <v>574</v>
      </c>
      <c r="E12" s="3" t="s">
        <v>290</v>
      </c>
      <c r="F12" s="3">
        <v>15</v>
      </c>
      <c r="G12" s="3" t="s">
        <v>398</v>
      </c>
      <c r="H12" s="3" t="s">
        <v>575</v>
      </c>
      <c r="I12" s="3" t="s">
        <v>576</v>
      </c>
      <c r="J12" s="3" t="s">
        <v>577</v>
      </c>
      <c r="K12" s="3" t="s">
        <v>243</v>
      </c>
      <c r="L12" s="3">
        <v>11</v>
      </c>
      <c r="M12" s="3" t="s">
        <v>400</v>
      </c>
      <c r="N12" s="3" t="s">
        <v>530</v>
      </c>
      <c r="O12" s="10"/>
    </row>
    <row r="13" spans="1:15" x14ac:dyDescent="0.35">
      <c r="A13" s="9" t="s">
        <v>578</v>
      </c>
      <c r="B13" s="3" t="s">
        <v>165</v>
      </c>
      <c r="C13" s="3" t="s">
        <v>579</v>
      </c>
      <c r="D13" s="3" t="s">
        <v>580</v>
      </c>
      <c r="E13" s="3" t="s">
        <v>581</v>
      </c>
      <c r="F13" s="3">
        <v>9</v>
      </c>
      <c r="G13" s="3" t="s">
        <v>400</v>
      </c>
      <c r="H13" s="3" t="s">
        <v>582</v>
      </c>
      <c r="I13" s="3" t="s">
        <v>583</v>
      </c>
      <c r="J13" s="3" t="s">
        <v>584</v>
      </c>
      <c r="K13" s="3" t="s">
        <v>247</v>
      </c>
      <c r="L13" s="3">
        <v>8</v>
      </c>
      <c r="M13" s="3" t="s">
        <v>402</v>
      </c>
      <c r="N13" s="3" t="s">
        <v>530</v>
      </c>
      <c r="O13" s="10"/>
    </row>
    <row r="14" spans="1:15" x14ac:dyDescent="0.35">
      <c r="A14" s="17" t="s">
        <v>585</v>
      </c>
      <c r="B14" s="18" t="s">
        <v>586</v>
      </c>
      <c r="C14" s="18" t="s">
        <v>587</v>
      </c>
      <c r="D14" s="18" t="s">
        <v>588</v>
      </c>
      <c r="E14" s="18" t="s">
        <v>455</v>
      </c>
      <c r="F14" s="18">
        <v>16</v>
      </c>
      <c r="G14" s="18" t="s">
        <v>398</v>
      </c>
      <c r="H14" s="18" t="s">
        <v>589</v>
      </c>
      <c r="I14" s="18" t="s">
        <v>590</v>
      </c>
      <c r="J14" s="18" t="s">
        <v>591</v>
      </c>
      <c r="K14" s="18" t="s">
        <v>592</v>
      </c>
      <c r="L14" s="18">
        <v>16</v>
      </c>
      <c r="M14" s="18" t="s">
        <v>402</v>
      </c>
      <c r="N14" s="18" t="s">
        <v>530</v>
      </c>
      <c r="O14" s="19"/>
    </row>
  </sheetData>
  <mergeCells count="2">
    <mergeCell ref="A1:O1"/>
    <mergeCell ref="A2:O2"/>
  </mergeCells>
  <dataValidations count="1">
    <dataValidation type="list" sqref="N5:N14" xr:uid="{00000000-0002-0000-0700-000000000000}">
      <formula1>"Open,Monitoring,Mitigated,Closed"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"/>
  <sheetViews>
    <sheetView showGridLines="0" workbookViewId="0">
      <selection activeCell="C17" sqref="C17"/>
    </sheetView>
  </sheetViews>
  <sheetFormatPr defaultRowHeight="14.5" x14ac:dyDescent="0.35"/>
  <cols>
    <col min="1" max="1" width="28" customWidth="1"/>
    <col min="2" max="2" width="18" customWidth="1"/>
    <col min="3" max="5" width="16" customWidth="1"/>
    <col min="6" max="6" width="18" customWidth="1"/>
    <col min="7" max="7" width="14" customWidth="1"/>
    <col min="8" max="8" width="24" customWidth="1"/>
    <col min="9" max="9" width="50" customWidth="1"/>
    <col min="10" max="10" width="42" customWidth="1"/>
  </cols>
  <sheetData>
    <row r="1" spans="1:10" ht="30" customHeight="1" x14ac:dyDescent="0.35">
      <c r="A1" s="30" t="s">
        <v>593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35">
      <c r="A2" s="28" t="s">
        <v>594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21" t="s">
        <v>595</v>
      </c>
      <c r="B4" s="22" t="s">
        <v>441</v>
      </c>
      <c r="C4" s="22" t="s">
        <v>3</v>
      </c>
      <c r="D4" s="22" t="s">
        <v>4</v>
      </c>
      <c r="E4" s="22" t="s">
        <v>596</v>
      </c>
      <c r="F4" s="22" t="s">
        <v>597</v>
      </c>
      <c r="G4" s="22" t="s">
        <v>598</v>
      </c>
      <c r="H4" s="22" t="s">
        <v>599</v>
      </c>
      <c r="I4" s="22" t="s">
        <v>600</v>
      </c>
      <c r="J4" s="23" t="s">
        <v>601</v>
      </c>
    </row>
    <row r="5" spans="1:10" x14ac:dyDescent="0.35">
      <c r="A5" s="9" t="s">
        <v>9</v>
      </c>
      <c r="B5" s="3" t="s">
        <v>602</v>
      </c>
      <c r="C5" s="3" t="s">
        <v>10</v>
      </c>
      <c r="D5" s="3" t="s">
        <v>11</v>
      </c>
      <c r="E5" s="3"/>
      <c r="F5" s="3"/>
      <c r="G5" s="3"/>
      <c r="H5" s="3" t="s">
        <v>243</v>
      </c>
      <c r="I5" s="3" t="s">
        <v>603</v>
      </c>
      <c r="J5" s="10" t="s">
        <v>604</v>
      </c>
    </row>
    <row r="6" spans="1:10" x14ac:dyDescent="0.35">
      <c r="A6" s="9" t="s">
        <v>16</v>
      </c>
      <c r="B6" s="3" t="s">
        <v>602</v>
      </c>
      <c r="C6" s="3" t="s">
        <v>17</v>
      </c>
      <c r="D6" s="3" t="s">
        <v>18</v>
      </c>
      <c r="E6" s="3"/>
      <c r="F6" s="3"/>
      <c r="G6" s="3"/>
      <c r="H6" s="3" t="s">
        <v>605</v>
      </c>
      <c r="I6" s="3" t="s">
        <v>606</v>
      </c>
      <c r="J6" s="10" t="s">
        <v>607</v>
      </c>
    </row>
    <row r="7" spans="1:10" x14ac:dyDescent="0.35">
      <c r="A7" s="9" t="s">
        <v>22</v>
      </c>
      <c r="B7" s="3" t="s">
        <v>602</v>
      </c>
      <c r="C7" s="3" t="s">
        <v>23</v>
      </c>
      <c r="D7" s="3" t="s">
        <v>24</v>
      </c>
      <c r="E7" s="3"/>
      <c r="F7" s="3"/>
      <c r="G7" s="3"/>
      <c r="H7" s="3" t="s">
        <v>243</v>
      </c>
      <c r="I7" s="3" t="s">
        <v>608</v>
      </c>
      <c r="J7" s="10"/>
    </row>
    <row r="8" spans="1:10" x14ac:dyDescent="0.35">
      <c r="A8" s="9" t="s">
        <v>28</v>
      </c>
      <c r="B8" s="3" t="s">
        <v>609</v>
      </c>
      <c r="C8" s="3" t="s">
        <v>29</v>
      </c>
      <c r="D8" s="3" t="s">
        <v>30</v>
      </c>
      <c r="E8" s="3"/>
      <c r="F8" s="3"/>
      <c r="G8" s="3"/>
      <c r="H8" s="3" t="s">
        <v>354</v>
      </c>
      <c r="I8" s="3" t="s">
        <v>610</v>
      </c>
      <c r="J8" s="10" t="s">
        <v>611</v>
      </c>
    </row>
    <row r="9" spans="1:10" x14ac:dyDescent="0.35">
      <c r="A9" s="9" t="s">
        <v>34</v>
      </c>
      <c r="B9" s="3" t="s">
        <v>612</v>
      </c>
      <c r="C9" s="3" t="s">
        <v>35</v>
      </c>
      <c r="D9" s="3" t="s">
        <v>36</v>
      </c>
      <c r="E9" s="3"/>
      <c r="F9" s="3"/>
      <c r="G9" s="3"/>
      <c r="H9" s="3" t="s">
        <v>613</v>
      </c>
      <c r="I9" s="3" t="s">
        <v>614</v>
      </c>
      <c r="J9" s="10" t="s">
        <v>615</v>
      </c>
    </row>
    <row r="10" spans="1:10" x14ac:dyDescent="0.35">
      <c r="A10" s="9" t="s">
        <v>40</v>
      </c>
      <c r="B10" s="3" t="s">
        <v>487</v>
      </c>
      <c r="C10" s="3" t="s">
        <v>41</v>
      </c>
      <c r="D10" s="3" t="s">
        <v>42</v>
      </c>
      <c r="E10" s="3"/>
      <c r="F10" s="3"/>
      <c r="G10" s="3"/>
      <c r="H10" s="3" t="s">
        <v>605</v>
      </c>
      <c r="I10" s="3" t="s">
        <v>616</v>
      </c>
      <c r="J10" s="10"/>
    </row>
    <row r="11" spans="1:10" x14ac:dyDescent="0.35">
      <c r="A11" s="9" t="s">
        <v>43</v>
      </c>
      <c r="B11" s="3" t="s">
        <v>255</v>
      </c>
      <c r="C11" s="3" t="s">
        <v>44</v>
      </c>
      <c r="D11" s="3" t="s">
        <v>45</v>
      </c>
      <c r="E11" s="3"/>
      <c r="F11" s="3"/>
      <c r="G11" s="3"/>
      <c r="H11" s="3" t="s">
        <v>198</v>
      </c>
      <c r="I11" s="3" t="s">
        <v>617</v>
      </c>
      <c r="J11" s="10"/>
    </row>
    <row r="12" spans="1:10" x14ac:dyDescent="0.35">
      <c r="A12" s="9" t="s">
        <v>618</v>
      </c>
      <c r="B12" s="3" t="s">
        <v>487</v>
      </c>
      <c r="C12" s="3" t="s">
        <v>619</v>
      </c>
      <c r="D12" s="3" t="s">
        <v>620</v>
      </c>
      <c r="E12" s="3"/>
      <c r="F12" s="3"/>
      <c r="G12" s="3"/>
      <c r="H12" s="3" t="s">
        <v>621</v>
      </c>
      <c r="I12" s="3" t="s">
        <v>622</v>
      </c>
      <c r="J12" s="10" t="s">
        <v>623</v>
      </c>
    </row>
    <row r="13" spans="1:10" ht="29" customHeight="1" x14ac:dyDescent="0.35">
      <c r="A13" s="9" t="s">
        <v>624</v>
      </c>
      <c r="B13" s="3" t="s">
        <v>255</v>
      </c>
      <c r="C13" s="3" t="s">
        <v>619</v>
      </c>
      <c r="D13" s="3" t="s">
        <v>625</v>
      </c>
      <c r="E13" s="3"/>
      <c r="F13" s="3"/>
      <c r="G13" s="3"/>
      <c r="H13" s="3" t="s">
        <v>121</v>
      </c>
      <c r="I13" s="3" t="s">
        <v>626</v>
      </c>
      <c r="J13" s="10" t="s">
        <v>627</v>
      </c>
    </row>
    <row r="14" spans="1:10" x14ac:dyDescent="0.35">
      <c r="A14" s="17" t="s">
        <v>628</v>
      </c>
      <c r="B14" s="18" t="s">
        <v>255</v>
      </c>
      <c r="C14" s="18" t="s">
        <v>619</v>
      </c>
      <c r="D14" s="18" t="s">
        <v>629</v>
      </c>
      <c r="E14" s="18"/>
      <c r="F14" s="18"/>
      <c r="G14" s="18"/>
      <c r="H14" s="18" t="s">
        <v>238</v>
      </c>
      <c r="I14" s="18" t="s">
        <v>630</v>
      </c>
      <c r="J14" s="19"/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Dashboard</vt:lpstr>
      <vt:lpstr>Executive Roadmap</vt:lpstr>
      <vt:lpstr>Detailed Program Tracker</vt:lpstr>
      <vt:lpstr>Capability Tracker</vt:lpstr>
      <vt:lpstr>Gate Readiness</vt:lpstr>
      <vt:lpstr>Gate Criteria Checklist</vt:lpstr>
      <vt:lpstr>Critical Dependencies</vt:lpstr>
      <vt:lpstr>RAID Register</vt:lpstr>
      <vt:lpstr>KPI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Rama Chirumamilla</cp:lastModifiedBy>
  <dcterms:created xsi:type="dcterms:W3CDTF">2026-10-07T16:55:36Z</dcterms:created>
  <dcterms:modified xsi:type="dcterms:W3CDTF">2026-10-07T17:04:07Z</dcterms:modified>
</cp:coreProperties>
</file>